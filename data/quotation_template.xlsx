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ata1" sheetId="1" r:id="rId4"/>
    <sheet state="visible" name="Korpusiniai (2)" sheetId="2" r:id="rId5"/>
    <sheet state="visible" name="PASIULYMAS" sheetId="3" r:id="rId6"/>
  </sheets>
  <definedNames/>
  <calcPr/>
  <extLst>
    <ext uri="GoogleSheetsCustomDataVersion2">
      <go:sheetsCustomData xmlns:go="http://customooxmlschemas.google.com/" r:id="rId7" roundtripDataChecksum="2K13My8qJYq3SyOLlfwhRqVdOsJYbYvKkd3yCvjrFVQ="/>
    </ext>
  </extLst>
</workbook>
</file>

<file path=xl/sharedStrings.xml><?xml version="1.0" encoding="utf-8"?>
<sst xmlns="http://schemas.openxmlformats.org/spreadsheetml/2006/main" count="406" uniqueCount="184">
  <si>
    <t>kaina</t>
  </si>
  <si>
    <t>POZICIJA</t>
  </si>
  <si>
    <t>Plotis, mm</t>
  </si>
  <si>
    <t>Gylis, mm</t>
  </si>
  <si>
    <t>Aukštis, mm</t>
  </si>
  <si>
    <t>Fasadas</t>
  </si>
  <si>
    <t>Stalčiai</t>
  </si>
  <si>
    <t>Stalčius iš plokštės</t>
  </si>
  <si>
    <t>Stalčiaus aukštis</t>
  </si>
  <si>
    <t>Stalčiaus gylis</t>
  </si>
  <si>
    <t>Nugarėlė</t>
  </si>
  <si>
    <t>Lentynos</t>
  </si>
  <si>
    <t>Cokolis</t>
  </si>
  <si>
    <t>GAMYBA</t>
  </si>
  <si>
    <t>Pertvaros</t>
  </si>
  <si>
    <t>Tarpinis</t>
  </si>
  <si>
    <t>KOMERCINIS PASIŪLYMAS</t>
  </si>
  <si>
    <t>Plokštės kiekis</t>
  </si>
  <si>
    <t>Numeris</t>
  </si>
  <si>
    <t>CP/EPALGB1</t>
  </si>
  <si>
    <t>Korpusas</t>
  </si>
  <si>
    <t>plokštės stalčiai</t>
  </si>
  <si>
    <t>Data</t>
  </si>
  <si>
    <t>Corten lakstai 2mm</t>
  </si>
  <si>
    <t>Bendras LMDP darbo ikainis</t>
  </si>
  <si>
    <t>Galiojimo data</t>
  </si>
  <si>
    <t>lmdp azuolas ulmas</t>
  </si>
  <si>
    <t>lukstas 0,5mm ALPI</t>
  </si>
  <si>
    <t>masyvas tasas 60x60</t>
  </si>
  <si>
    <t>Tiekėjas</t>
  </si>
  <si>
    <t>Užsakovas</t>
  </si>
  <si>
    <t>IĮ "Buki kaltai"</t>
  </si>
  <si>
    <t>Egle Preise</t>
  </si>
  <si>
    <t>Stalciaus montavimas</t>
  </si>
  <si>
    <t>stiklas</t>
  </si>
  <si>
    <t>Tehnistone (Noble Pro Frost)</t>
  </si>
  <si>
    <t>LT100012484610</t>
  </si>
  <si>
    <t>NP lentynos/stelazai/etc</t>
  </si>
  <si>
    <t>Šilo g. 6, Lekėčiai, Šakių r.</t>
  </si>
  <si>
    <t>Apvalaus frezavimo taskas</t>
  </si>
  <si>
    <t>metalas 25x25</t>
  </si>
  <si>
    <t>stalvirsis Hi-MACS  T019 New Moon</t>
  </si>
  <si>
    <t>Karkasine LMDP Stone Beige, K680PD (BE KAINOS)</t>
  </si>
  <si>
    <t>Nr.</t>
  </si>
  <si>
    <t>Furnituros montavimas</t>
  </si>
  <si>
    <t>Produktas/paslauga</t>
  </si>
  <si>
    <t>metal dazymas</t>
  </si>
  <si>
    <t>Kaina</t>
  </si>
  <si>
    <t>faneruotes laminavimas</t>
  </si>
  <si>
    <t>Kiekis</t>
  </si>
  <si>
    <t>Kaina už visus</t>
  </si>
  <si>
    <t>PVM</t>
  </si>
  <si>
    <t>Kaina su mokesčiais</t>
  </si>
  <si>
    <t>Karkasine Kronospan 0164 Anthracite</t>
  </si>
  <si>
    <t>Frezavimas metras</t>
  </si>
  <si>
    <t>Koridoriaus spinta</t>
  </si>
  <si>
    <t>zalvaris plotas</t>
  </si>
  <si>
    <t xml:space="preserve">LMDP korpusine </t>
  </si>
  <si>
    <t>Karkasine LMDP (prie luksto baldu)</t>
  </si>
  <si>
    <t>smulkios furnituros montavimas</t>
  </si>
  <si>
    <t>zalvaris krastine</t>
  </si>
  <si>
    <t>MDF paprastas</t>
  </si>
  <si>
    <t>Lankstai</t>
  </si>
  <si>
    <t>metal vamzdis d32</t>
  </si>
  <si>
    <t>2 tasku rankena</t>
  </si>
  <si>
    <t>Push</t>
  </si>
  <si>
    <t>LED Trafas</t>
  </si>
  <si>
    <t>Televizoriaus baldas</t>
  </si>
  <si>
    <t>blum tandembox</t>
  </si>
  <si>
    <t>1 tasko rankena</t>
  </si>
  <si>
    <t>Spintos rankena</t>
  </si>
  <si>
    <t>blum lankstas</t>
  </si>
  <si>
    <t>4mm nerudijancio plieno lakstas</t>
  </si>
  <si>
    <t>Virtuvės sala</t>
  </si>
  <si>
    <t>Lukstas</t>
  </si>
  <si>
    <t>Stalcius isorinis (Lukstas)</t>
  </si>
  <si>
    <t>MDF zalias</t>
  </si>
  <si>
    <t>MDF fasadai frezavimas su medziaga</t>
  </si>
  <si>
    <t>Virtuvės baldas</t>
  </si>
  <si>
    <t>kabykla</t>
  </si>
  <si>
    <t>Stalcius vidinis</t>
  </si>
  <si>
    <t>19mm lukstas FMDP</t>
  </si>
  <si>
    <t>San. mazgo baldas 1</t>
  </si>
  <si>
    <t>GOLA profilis</t>
  </si>
  <si>
    <t>Masyvas 20-22</t>
  </si>
  <si>
    <t>masyvas tasas 40x40</t>
  </si>
  <si>
    <t>Kampine sistema</t>
  </si>
  <si>
    <t>LED frezavimas</t>
  </si>
  <si>
    <t>veidrodis sendintas 100-200</t>
  </si>
  <si>
    <t>San. mazgo baldas 2</t>
  </si>
  <si>
    <r>
      <rPr>
        <rFont val="Arial"/>
        <color theme="1"/>
        <sz val="10.0"/>
      </rPr>
      <t xml:space="preserve">Ukine spinta </t>
    </r>
    <r>
      <rPr>
        <rFont val="Arial"/>
        <color rgb="FF1155CC"/>
        <sz val="10.0"/>
        <u/>
      </rPr>
      <t>https://www.furnitanas.lt/sistema-495-su-lentynomis-liro</t>
    </r>
  </si>
  <si>
    <t>San. mazgo baldas 3</t>
  </si>
  <si>
    <t>Miegamojo spinta</t>
  </si>
  <si>
    <t>lakavimas</t>
  </si>
  <si>
    <t>veidrodis paprastas</t>
  </si>
  <si>
    <t>Darbo stalas</t>
  </si>
  <si>
    <t>Spintos montavimas</t>
  </si>
  <si>
    <t>traf dim</t>
  </si>
  <si>
    <t>lmdp K090</t>
  </si>
  <si>
    <t>Darbo kambario spinta</t>
  </si>
  <si>
    <t>traf</t>
  </si>
  <si>
    <t>lmdp 0166</t>
  </si>
  <si>
    <t>Skalbyklos baldas</t>
  </si>
  <si>
    <t>beicavimas</t>
  </si>
  <si>
    <t>fanera korpusams</t>
  </si>
  <si>
    <t>Matavimas</t>
  </si>
  <si>
    <t>dazymas</t>
  </si>
  <si>
    <t>metalas 20x20 su kofu</t>
  </si>
  <si>
    <t xml:space="preserve">Paprastos kojos tekinimas </t>
  </si>
  <si>
    <t>kabyklos metals su kofu</t>
  </si>
  <si>
    <t>Pristatymas</t>
  </si>
  <si>
    <t>LED frezavimas+profilis+LED 12V</t>
  </si>
  <si>
    <t>Montavimas</t>
  </si>
  <si>
    <t>LMDP negro FENIX</t>
  </si>
  <si>
    <t>LED frezavimas+profilis+LED 24V</t>
  </si>
  <si>
    <t>metalas 30x30</t>
  </si>
  <si>
    <t>uzduotis</t>
  </si>
  <si>
    <t>komentaras</t>
  </si>
  <si>
    <t>kvm/vnt/m</t>
  </si>
  <si>
    <t>savikaina</t>
  </si>
  <si>
    <t>METAL</t>
  </si>
  <si>
    <t>LMDP</t>
  </si>
  <si>
    <t>PASLAUGA</t>
  </si>
  <si>
    <t>MASYVAS</t>
  </si>
  <si>
    <t>FURNITURA</t>
  </si>
  <si>
    <t>STIKLAS</t>
  </si>
  <si>
    <t>BE KOFO</t>
  </si>
  <si>
    <t>-</t>
  </si>
  <si>
    <t>Nuolaida</t>
  </si>
  <si>
    <t>Viso</t>
  </si>
  <si>
    <t>1. Koridoriaus spinta</t>
  </si>
  <si>
    <t>● Kainos gali keistis atsisakius vienos ar kitos pozicijos iš pasiūlymo
● Kainos gali keistis keičiant užklausoje pateiktus ir/ar telefonu aptartus duomenis iki pasiūlymo galiojimo pabaigos
● Pristatymo kaštai ir montavimo paslauga neįskaičiuota, nebent pasiūlyme nurodyta kitaip</t>
  </si>
  <si>
    <t>Bendras</t>
  </si>
  <si>
    <t>Karkasas</t>
  </si>
  <si>
    <t>masyvas</t>
  </si>
  <si>
    <t>fasadas</t>
  </si>
  <si>
    <t>lankstai</t>
  </si>
  <si>
    <t>furnitura</t>
  </si>
  <si>
    <t>Rankena</t>
  </si>
  <si>
    <t>be kofo</t>
  </si>
  <si>
    <t>Kabykla</t>
  </si>
  <si>
    <t>furnituros montavimas</t>
  </si>
  <si>
    <t>Viso plokštės:</t>
  </si>
  <si>
    <t>metalas</t>
  </si>
  <si>
    <t>2. Televizoriaus baldas</t>
  </si>
  <si>
    <t>stalcius</t>
  </si>
  <si>
    <t>stalciaus montavimas</t>
  </si>
  <si>
    <t>3. Virtuvės sala</t>
  </si>
  <si>
    <t>Akmuo (Stalvirsis, sonai, priekis)</t>
  </si>
  <si>
    <t>Stalcius isorinis</t>
  </si>
  <si>
    <t>Stalciu montavimas</t>
  </si>
  <si>
    <t>4. Virtuvės baldas</t>
  </si>
  <si>
    <t>karkasas</t>
  </si>
  <si>
    <t>Stalvirsis</t>
  </si>
  <si>
    <t>Sienele</t>
  </si>
  <si>
    <t>Lentyna</t>
  </si>
  <si>
    <t>Stalcius isorinis didelis</t>
  </si>
  <si>
    <t>stalcius vidinis</t>
  </si>
  <si>
    <t>kampine sistema</t>
  </si>
  <si>
    <t>push</t>
  </si>
  <si>
    <t>Saldytuvo rankeneles</t>
  </si>
  <si>
    <t>Gola profilis</t>
  </si>
  <si>
    <t>kargo sistema</t>
  </si>
  <si>
    <t>kargo montavimas</t>
  </si>
  <si>
    <t>led trafas</t>
  </si>
  <si>
    <t>5. San. mazgo baldas 1</t>
  </si>
  <si>
    <t>fasadas (plytele)</t>
  </si>
  <si>
    <t>6. San. mazgo baldas 2</t>
  </si>
  <si>
    <t>bendras</t>
  </si>
  <si>
    <t>fasadas (veidrodis)</t>
  </si>
  <si>
    <t>7. San. mazgo baldas 3</t>
  </si>
  <si>
    <t>karkasas (nematomas + stalvirsio karkasas)</t>
  </si>
  <si>
    <t>NP fasadai</t>
  </si>
  <si>
    <t>Stalcius</t>
  </si>
  <si>
    <t>8. Miegamojo spinta</t>
  </si>
  <si>
    <t>stalciai</t>
  </si>
  <si>
    <t>rankena</t>
  </si>
  <si>
    <t>9. Miegamojo lova</t>
  </si>
  <si>
    <t>10. Darbo stalas</t>
  </si>
  <si>
    <t>spintele</t>
  </si>
  <si>
    <t>stalvirsis</t>
  </si>
  <si>
    <t>koja (NP)</t>
  </si>
  <si>
    <t>11. Darbo kambario spinta</t>
  </si>
  <si>
    <t>12. Skalbyklos baldas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</si>
</sst>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[$€]#,##0.00"/>
    <numFmt numFmtId="166" formatCode="[$$-1009]#,##0.00"/>
  </numFmts>
  <fonts count="18">
    <font>
      <sz val="10.0"/>
      <color rgb="FF000000"/>
      <name val="Arial"/>
      <scheme val="minor"/>
    </font>
    <font>
      <sz val="10.0"/>
      <color theme="1"/>
      <name val="Arial"/>
    </font>
    <font>
      <sz val="11.0"/>
      <color theme="1"/>
      <name val="Times New Roman"/>
    </font>
    <font>
      <b/>
      <sz val="10.0"/>
      <color theme="1"/>
      <name val="Arial"/>
    </font>
    <font>
      <sz val="11.0"/>
      <color theme="1"/>
      <name val="Arial"/>
    </font>
    <font/>
    <font>
      <b/>
      <sz val="20.0"/>
      <color theme="1"/>
      <name val="Times New Roman"/>
    </font>
    <font>
      <b/>
      <sz val="11.0"/>
      <color theme="1"/>
      <name val="Times New Roman"/>
    </font>
    <font>
      <sz val="10.0"/>
      <color rgb="FF000000"/>
      <name val="Arial"/>
    </font>
    <font>
      <b/>
      <u/>
      <sz val="12.0"/>
      <color theme="1"/>
      <name val="Times New Roman"/>
    </font>
    <font>
      <b/>
      <u/>
      <sz val="12.0"/>
      <color theme="1"/>
      <name val="Times New Roman"/>
    </font>
    <font>
      <u/>
      <sz val="10.0"/>
      <color theme="1"/>
      <name val="Arial"/>
    </font>
    <font>
      <b/>
      <sz val="16.0"/>
      <color theme="1"/>
      <name val="Times New Roman"/>
    </font>
    <font>
      <b/>
      <sz val="13.0"/>
      <color theme="1"/>
      <name val="Times New Roman"/>
    </font>
    <font>
      <sz val="9.0"/>
      <color theme="1"/>
      <name val="Times New Roman"/>
    </font>
    <font>
      <color theme="1"/>
      <name val="Arial"/>
      <scheme val="minor"/>
    </font>
    <font>
      <b/>
      <sz val="10.0"/>
      <color rgb="FF000000"/>
      <name val="Arial"/>
    </font>
    <font>
      <sz val="11.0"/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B6D7A8"/>
        <bgColor rgb="FFB6D7A8"/>
      </patternFill>
    </fill>
    <fill>
      <patternFill patternType="solid">
        <fgColor rgb="FFC3D69B"/>
        <bgColor rgb="FFC3D69B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DEADA"/>
        <bgColor rgb="FFFDEADA"/>
      </patternFill>
    </fill>
    <fill>
      <patternFill patternType="solid">
        <fgColor rgb="FFE5B9B7"/>
        <bgColor rgb="FFE5B9B7"/>
      </patternFill>
    </fill>
    <fill>
      <patternFill patternType="solid">
        <fgColor rgb="FFEAD1DC"/>
        <bgColor rgb="FFEAD1DC"/>
      </patternFill>
    </fill>
    <fill>
      <patternFill patternType="solid">
        <fgColor rgb="FFFFCC99"/>
        <bgColor rgb="FFFFCC99"/>
      </patternFill>
    </fill>
    <fill>
      <patternFill patternType="solid">
        <fgColor rgb="FFFFCCCC"/>
        <bgColor rgb="FFFFCCCC"/>
      </patternFill>
    </fill>
    <fill>
      <patternFill patternType="solid">
        <fgColor rgb="FFCCCCFF"/>
        <bgColor rgb="FFCCCCFF"/>
      </patternFill>
    </fill>
    <fill>
      <patternFill patternType="solid">
        <fgColor rgb="FF99FFFF"/>
        <bgColor rgb="FF99FFFF"/>
      </patternFill>
    </fill>
    <fill>
      <patternFill patternType="solid">
        <fgColor rgb="FF93C47D"/>
        <bgColor rgb="FF93C47D"/>
      </patternFill>
    </fill>
    <fill>
      <patternFill patternType="solid">
        <fgColor rgb="FFD99694"/>
        <bgColor rgb="FFD99694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0" fillId="0" fontId="4" numFmtId="0" xfId="0" applyFont="1"/>
    <xf borderId="2" fillId="2" fontId="3" numFmtId="0" xfId="0" applyBorder="1" applyFill="1" applyFont="1"/>
    <xf borderId="4" fillId="0" fontId="5" numFmtId="0" xfId="0" applyBorder="1" applyFont="1"/>
    <xf borderId="3" fillId="3" fontId="3" numFmtId="0" xfId="0" applyAlignment="1" applyBorder="1" applyFill="1" applyFont="1">
      <alignment horizontal="center"/>
    </xf>
    <xf borderId="5" fillId="0" fontId="5" numFmtId="0" xfId="0" applyBorder="1" applyFont="1"/>
    <xf borderId="3" fillId="3" fontId="1" numFmtId="0" xfId="0" applyBorder="1" applyFill="1" applyFont="1"/>
    <xf borderId="0" fillId="0" fontId="6" numFmtId="0" xfId="0" applyAlignment="1" applyFont="1">
      <alignment horizontal="center" vertical="center"/>
    </xf>
    <xf borderId="2" fillId="4" fontId="3" numFmtId="0" xfId="0" applyAlignment="1" applyBorder="1" applyFill="1" applyFont="1">
      <alignment horizontal="left"/>
    </xf>
    <xf borderId="3" fillId="5" fontId="1" numFmtId="0" xfId="0" applyBorder="1" applyFill="1" applyFont="1"/>
    <xf borderId="0" fillId="0" fontId="7" numFmtId="0" xfId="0" applyAlignment="1" applyFont="1">
      <alignment horizontal="right"/>
    </xf>
    <xf borderId="1" fillId="4" fontId="3" numFmtId="0" xfId="0" applyBorder="1" applyFill="1" applyFont="1"/>
    <xf borderId="0" fillId="0" fontId="2" numFmtId="0" xfId="0" applyAlignment="1" applyFont="1">
      <alignment horizontal="left" vertical="center"/>
    </xf>
    <xf borderId="1" fillId="0" fontId="1" numFmtId="0" xfId="0" applyBorder="1" applyFont="1"/>
    <xf borderId="3" fillId="6" fontId="1" numFmtId="0" xfId="0" applyAlignment="1" applyBorder="1" applyFill="1" applyFont="1">
      <alignment horizontal="right"/>
    </xf>
    <xf borderId="1" fillId="2" fontId="1" numFmtId="0" xfId="0" applyBorder="1" applyFill="1" applyFont="1"/>
    <xf borderId="0" fillId="0" fontId="1" numFmtId="0" xfId="0" applyAlignment="1" applyFont="1">
      <alignment horizontal="center"/>
    </xf>
    <xf borderId="2" fillId="2" fontId="1" numFmtId="0" xfId="0" applyBorder="1" applyFill="1" applyFont="1"/>
    <xf borderId="0" fillId="0" fontId="1" numFmtId="0" xfId="0" applyAlignment="1" applyFont="1">
      <alignment horizontal="right"/>
    </xf>
    <xf borderId="0" fillId="0" fontId="2" numFmtId="14" xfId="0" applyAlignment="1" applyFont="1" applyNumberFormat="1">
      <alignment horizontal="left" vertical="center"/>
    </xf>
    <xf borderId="1" fillId="7" fontId="1" numFmtId="0" xfId="0" applyBorder="1" applyFill="1" applyFont="1"/>
    <xf borderId="0" fillId="0" fontId="7" numFmtId="0" xfId="0" applyAlignment="1" applyFont="1">
      <alignment vertical="center"/>
    </xf>
    <xf borderId="0" fillId="0" fontId="9" numFmtId="0" xfId="0" applyAlignment="1" applyFont="1">
      <alignment vertical="center"/>
    </xf>
    <xf borderId="6" fillId="2" fontId="8" numFmtId="0" xfId="0" applyAlignment="1" applyBorder="1" applyFill="1" applyFont="1">
      <alignment horizontal="left" readingOrder="1" shrinkToFit="0" wrapText="1"/>
    </xf>
    <xf borderId="7" fillId="0" fontId="5" numFmtId="0" xfId="0" applyBorder="1" applyFont="1"/>
    <xf borderId="0" fillId="0" fontId="10" numFmtId="0" xfId="0" applyFont="1"/>
    <xf borderId="8" fillId="0" fontId="5" numFmtId="0" xfId="0" applyBorder="1" applyFont="1"/>
    <xf borderId="0" fillId="0" fontId="2" numFmtId="0" xfId="0" applyAlignment="1" applyFont="1">
      <alignment vertical="center"/>
    </xf>
    <xf borderId="9" fillId="2" fontId="8" numFmtId="0" xfId="0" applyAlignment="1" applyBorder="1" applyFill="1" applyFont="1">
      <alignment horizontal="right" readingOrder="1" shrinkToFit="0" wrapText="1"/>
    </xf>
    <xf borderId="2" fillId="7" fontId="1" numFmtId="0" xfId="0" applyAlignment="1" applyBorder="1" applyFill="1" applyFont="1">
      <alignment horizontal="left"/>
    </xf>
    <xf borderId="0" fillId="0" fontId="2" numFmtId="0" xfId="0" applyAlignment="1" applyFont="1">
      <alignment horizontal="left"/>
    </xf>
    <xf borderId="2" fillId="7" fontId="1" numFmtId="0" xfId="0" applyBorder="1" applyFill="1" applyFont="1"/>
    <xf borderId="0" fillId="0" fontId="7" numFmtId="0" xfId="0" applyAlignment="1" applyFont="1">
      <alignment horizontal="right" vertical="center"/>
    </xf>
    <xf borderId="1" fillId="4" fontId="1" numFmtId="0" xfId="0" applyBorder="1" applyFill="1" applyFont="1"/>
    <xf borderId="2" fillId="8" fontId="1" numFmtId="0" xfId="0" applyBorder="1" applyFill="1" applyFont="1"/>
    <xf borderId="1" fillId="8" fontId="1" numFmtId="0" xfId="0" applyBorder="1" applyFill="1" applyFont="1"/>
    <xf borderId="1" fillId="9" fontId="7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ill="1" applyFont="1">
      <alignment horizontal="left"/>
    </xf>
    <xf borderId="3" fillId="5" fontId="1" numFmtId="0" xfId="0" applyAlignment="1" applyBorder="1" applyFill="1" applyFont="1">
      <alignment horizontal="right"/>
    </xf>
    <xf borderId="2" fillId="9" fontId="7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10" fillId="7" fontId="1" numFmtId="0" xfId="0" applyAlignment="1" applyBorder="1" applyFill="1" applyFont="1">
      <alignment horizontal="left"/>
    </xf>
    <xf borderId="1" fillId="0" fontId="2" numFmtId="164" xfId="0" applyAlignment="1" applyBorder="1" applyFont="1" applyNumberFormat="1">
      <alignment horizontal="center" vertical="center"/>
    </xf>
    <xf borderId="11" fillId="7" fontId="1" numFmtId="0" xfId="0" applyAlignment="1" applyBorder="1" applyFill="1" applyFont="1">
      <alignment horizontal="left"/>
    </xf>
    <xf borderId="12" fillId="7" fontId="1" numFmtId="0" xfId="0" applyAlignment="1" applyBorder="1" applyFill="1" applyFont="1">
      <alignment horizontal="left"/>
    </xf>
    <xf borderId="1" fillId="0" fontId="2" numFmtId="4" xfId="0" applyAlignment="1" applyBorder="1" applyFont="1" applyNumberFormat="1">
      <alignment horizontal="center" vertical="center"/>
    </xf>
    <xf borderId="2" fillId="0" fontId="2" numFmtId="4" xfId="0" applyAlignment="1" applyBorder="1" applyFont="1" applyNumberFormat="1">
      <alignment horizontal="center" vertical="center"/>
    </xf>
    <xf borderId="13" fillId="2" fontId="1" numFmtId="0" xfId="0" applyBorder="1" applyFill="1" applyFont="1"/>
    <xf borderId="14" fillId="0" fontId="5" numFmtId="0" xfId="0" applyBorder="1" applyFont="1"/>
    <xf borderId="15" fillId="0" fontId="5" numFmtId="0" xfId="0" applyBorder="1" applyFont="1"/>
    <xf borderId="16" fillId="2" fontId="1" numFmtId="0" xfId="0" applyBorder="1" applyFill="1" applyFont="1"/>
    <xf borderId="17" fillId="0" fontId="5" numFmtId="0" xfId="0" applyBorder="1" applyFont="1"/>
    <xf borderId="18" fillId="0" fontId="5" numFmtId="0" xfId="0" applyBorder="1" applyFont="1"/>
    <xf borderId="3" fillId="6" fontId="1" numFmtId="0" xfId="0" applyBorder="1" applyFill="1" applyFont="1"/>
    <xf borderId="2" fillId="7" fontId="11" numFmtId="0" xfId="0" applyAlignment="1" applyBorder="1" applyFill="1" applyFont="1">
      <alignment readingOrder="0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165" xfId="0" applyAlignment="1" applyFont="1" applyNumberFormat="1">
      <alignment horizontal="left"/>
    </xf>
    <xf borderId="1" fillId="0" fontId="3" numFmtId="0" xfId="0" applyBorder="1" applyFont="1"/>
    <xf borderId="19" fillId="0" fontId="2" numFmtId="0" xfId="0" applyBorder="1" applyFont="1"/>
    <xf borderId="19" fillId="0" fontId="7" numFmtId="0" xfId="0" applyAlignment="1" applyBorder="1" applyFont="1">
      <alignment horizontal="right"/>
    </xf>
    <xf borderId="19" fillId="0" fontId="2" numFmtId="10" xfId="0" applyAlignment="1" applyBorder="1" applyFont="1" applyNumberFormat="1">
      <alignment horizontal="left"/>
    </xf>
    <xf borderId="19" fillId="0" fontId="5" numFmtId="0" xfId="0" applyBorder="1" applyFont="1"/>
    <xf borderId="0" fillId="0" fontId="12" numFmtId="0" xfId="0" applyAlignment="1" applyFont="1">
      <alignment horizontal="right"/>
    </xf>
    <xf borderId="1" fillId="10" fontId="3" numFmtId="0" xfId="0" applyBorder="1" applyFill="1" applyFont="1"/>
    <xf borderId="1" fillId="11" fontId="3" numFmtId="0" xfId="0" applyBorder="1" applyFill="1" applyFont="1"/>
    <xf borderId="1" fillId="12" fontId="3" numFmtId="0" xfId="0" applyBorder="1" applyFill="1" applyFont="1"/>
    <xf borderId="0" fillId="0" fontId="13" numFmtId="165" xfId="0" applyAlignment="1" applyFont="1" applyNumberFormat="1">
      <alignment horizontal="left"/>
    </xf>
    <xf borderId="1" fillId="0" fontId="1" numFmtId="4" xfId="0" applyBorder="1" applyFont="1" applyNumberFormat="1"/>
    <xf borderId="1" fillId="13" fontId="3" numFmtId="0" xfId="0" applyBorder="1" applyFill="1" applyFont="1"/>
    <xf borderId="0" fillId="0" fontId="2" numFmtId="166" xfId="0" applyFont="1" applyNumberFormat="1"/>
    <xf borderId="0" fillId="0" fontId="14" numFmtId="0" xfId="0" applyFont="1"/>
    <xf borderId="1" fillId="10" fontId="1" numFmtId="0" xfId="0" applyBorder="1" applyFill="1" applyFont="1"/>
    <xf borderId="1" fillId="11" fontId="1" numFmtId="0" xfId="0" applyBorder="1" applyFill="1" applyFont="1"/>
    <xf borderId="1" fillId="12" fontId="1" numFmtId="0" xfId="0" applyBorder="1" applyFill="1" applyFont="1"/>
    <xf borderId="1" fillId="13" fontId="1" numFmtId="0" xfId="0" applyBorder="1" applyFill="1" applyFont="1"/>
    <xf borderId="1" fillId="13" fontId="1" numFmtId="0" xfId="0" applyAlignment="1" applyBorder="1" applyFill="1" applyFont="1">
      <alignment horizontal="right"/>
    </xf>
    <xf borderId="1" fillId="11" fontId="1" numFmtId="4" xfId="0" applyBorder="1" applyFill="1" applyFont="1" applyNumberFormat="1"/>
    <xf borderId="0" fillId="0" fontId="15" numFmtId="0" xfId="0" applyFont="1"/>
    <xf borderId="1" fillId="0" fontId="8" numFmtId="0" xfId="0" applyBorder="1" applyFont="1"/>
    <xf borderId="3" fillId="14" fontId="3" numFmtId="0" xfId="0" applyBorder="1" applyFill="1" applyFont="1"/>
    <xf borderId="3" fillId="14" fontId="3" numFmtId="0" xfId="0" applyAlignment="1" applyBorder="1" applyFill="1" applyFont="1">
      <alignment horizontal="right"/>
    </xf>
    <xf borderId="1" fillId="11" fontId="1" numFmtId="0" xfId="0" applyAlignment="1" applyBorder="1" applyFill="1" applyFont="1">
      <alignment readingOrder="0"/>
    </xf>
    <xf borderId="1" fillId="0" fontId="16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left" shrinkToFit="0" wrapText="1"/>
    </xf>
    <xf borderId="1" fillId="0" fontId="17" numFmtId="0" xfId="0" applyAlignment="1" applyBorder="1" applyFont="1">
      <alignment horizontal="center" shrinkToFit="0" wrapText="1"/>
    </xf>
    <xf borderId="1" fillId="15" fontId="8" numFmtId="0" xfId="0" applyBorder="1" applyFill="1" applyFont="1"/>
    <xf borderId="1" fillId="15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171450</xdr:rowOff>
    </xdr:from>
    <xdr:ext cx="1066800" cy="342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urnitanas.lt/sistema-495-su-lentynomis-lir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5"/>
    <col customWidth="1" min="2" max="2" width="13.13"/>
    <col customWidth="1" min="3" max="3" width="11.63"/>
    <col customWidth="1" min="4" max="4" width="16.5"/>
    <col customWidth="1" min="5" max="5" width="11.63"/>
    <col customWidth="1" min="6" max="6" width="8.5"/>
    <col customWidth="1" min="7" max="7" width="11.63"/>
    <col customWidth="1" min="8" max="8" width="14.38"/>
    <col customWidth="1" min="9" max="9" width="13.13"/>
    <col customWidth="1" min="10" max="11" width="11.63"/>
    <col customWidth="1" min="12" max="26" width="8.63"/>
  </cols>
  <sheetData>
    <row r="1" ht="12.75" customHeight="1">
      <c r="A1" s="3"/>
      <c r="B1" s="3" t="s">
        <v>0</v>
      </c>
      <c r="C1" s="5" t="s">
        <v>1</v>
      </c>
      <c r="D1" s="6"/>
      <c r="E1" s="8"/>
      <c r="F1" s="3" t="s">
        <v>0</v>
      </c>
      <c r="G1" s="5" t="s">
        <v>1</v>
      </c>
      <c r="H1" s="6"/>
      <c r="I1" s="8"/>
      <c r="J1" s="3" t="s">
        <v>0</v>
      </c>
      <c r="K1" s="11" t="s">
        <v>13</v>
      </c>
      <c r="L1" s="6"/>
      <c r="M1" s="8"/>
      <c r="N1" s="14" t="s">
        <v>0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2.75" customHeight="1">
      <c r="A2" s="18"/>
      <c r="B2" s="18"/>
      <c r="C2" s="20"/>
      <c r="D2" s="6"/>
      <c r="E2" s="8"/>
      <c r="F2" s="18"/>
      <c r="G2" s="20" t="s">
        <v>23</v>
      </c>
      <c r="H2" s="6"/>
      <c r="I2" s="8"/>
      <c r="J2" s="18">
        <v>30.0</v>
      </c>
      <c r="K2" s="23" t="s">
        <v>24</v>
      </c>
      <c r="L2" s="23"/>
      <c r="M2" s="23"/>
      <c r="N2" s="23">
        <v>15.0</v>
      </c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18" t="s">
        <v>26</v>
      </c>
      <c r="B3" s="18">
        <v>10.0</v>
      </c>
      <c r="C3" s="20" t="s">
        <v>27</v>
      </c>
      <c r="D3" s="6"/>
      <c r="E3" s="8"/>
      <c r="F3" s="18">
        <v>12.0</v>
      </c>
      <c r="G3" s="26" t="s">
        <v>28</v>
      </c>
      <c r="H3" s="27"/>
      <c r="I3" s="29"/>
      <c r="J3" s="31">
        <v>17.0</v>
      </c>
      <c r="K3" s="32" t="s">
        <v>33</v>
      </c>
      <c r="L3" s="6"/>
      <c r="M3" s="8"/>
      <c r="N3" s="23">
        <v>35.0</v>
      </c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2.75" customHeight="1">
      <c r="A4" s="18" t="s">
        <v>34</v>
      </c>
      <c r="B4" s="18">
        <v>40.0</v>
      </c>
      <c r="C4" s="20" t="s">
        <v>35</v>
      </c>
      <c r="D4" s="6"/>
      <c r="E4" s="8"/>
      <c r="F4" s="18">
        <v>165.0</v>
      </c>
      <c r="G4" s="34" t="s">
        <v>37</v>
      </c>
      <c r="H4" s="6"/>
      <c r="I4" s="8"/>
      <c r="J4" s="23">
        <v>350.0</v>
      </c>
      <c r="K4" s="36" t="s">
        <v>39</v>
      </c>
      <c r="L4" s="36"/>
      <c r="M4" s="36"/>
      <c r="N4" s="36">
        <v>10.0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18" t="s">
        <v>40</v>
      </c>
      <c r="B5" s="18">
        <v>2.2</v>
      </c>
      <c r="C5" s="20" t="s">
        <v>41</v>
      </c>
      <c r="D5" s="6"/>
      <c r="E5" s="8"/>
      <c r="F5" s="18"/>
      <c r="G5" s="37" t="s">
        <v>42</v>
      </c>
      <c r="H5" s="6"/>
      <c r="I5" s="8"/>
      <c r="J5" s="38">
        <v>18.0</v>
      </c>
      <c r="K5" s="40" t="s">
        <v>44</v>
      </c>
      <c r="L5" s="6"/>
      <c r="M5" s="8"/>
      <c r="N5" s="36">
        <v>35.0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2.75" customHeight="1">
      <c r="A6" s="18" t="s">
        <v>46</v>
      </c>
      <c r="B6" s="18">
        <v>5.0</v>
      </c>
      <c r="C6" s="20" t="s">
        <v>48</v>
      </c>
      <c r="D6" s="6"/>
      <c r="E6" s="8"/>
      <c r="F6" s="18">
        <v>15.0</v>
      </c>
      <c r="G6" s="34" t="s">
        <v>53</v>
      </c>
      <c r="H6" s="6"/>
      <c r="I6" s="8"/>
      <c r="J6" s="23">
        <v>12.0</v>
      </c>
      <c r="K6" s="40" t="s">
        <v>54</v>
      </c>
      <c r="L6" s="6"/>
      <c r="M6" s="8"/>
      <c r="N6" s="36">
        <v>15.0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2.75" customHeight="1">
      <c r="A7" s="18" t="s">
        <v>56</v>
      </c>
      <c r="B7" s="18">
        <v>150.0</v>
      </c>
      <c r="C7" s="20" t="s">
        <v>57</v>
      </c>
      <c r="D7" s="6"/>
      <c r="E7" s="8"/>
      <c r="F7" s="18">
        <v>12.0</v>
      </c>
      <c r="G7" s="34" t="s">
        <v>58</v>
      </c>
      <c r="H7" s="6"/>
      <c r="I7" s="8"/>
      <c r="J7" s="23">
        <v>18.0</v>
      </c>
      <c r="K7" s="45" t="s">
        <v>59</v>
      </c>
      <c r="L7" s="47"/>
      <c r="M7" s="48"/>
      <c r="N7" s="23">
        <v>3.0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2.75" customHeight="1">
      <c r="A8" s="18" t="s">
        <v>60</v>
      </c>
      <c r="B8" s="18">
        <v>20.0</v>
      </c>
      <c r="C8" s="20" t="s">
        <v>61</v>
      </c>
      <c r="D8" s="6"/>
      <c r="E8" s="8"/>
      <c r="F8" s="18">
        <v>10.0</v>
      </c>
      <c r="G8" s="34" t="s">
        <v>62</v>
      </c>
      <c r="H8" s="6"/>
      <c r="I8" s="8"/>
      <c r="J8" s="23">
        <v>6.0</v>
      </c>
      <c r="K8" s="32" t="s">
        <v>44</v>
      </c>
      <c r="L8" s="6"/>
      <c r="M8" s="8"/>
      <c r="N8" s="23">
        <v>10.0</v>
      </c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18" t="s">
        <v>63</v>
      </c>
      <c r="B9" s="18">
        <v>6.4</v>
      </c>
      <c r="C9" s="20" t="s">
        <v>64</v>
      </c>
      <c r="D9" s="6"/>
      <c r="E9" s="8"/>
      <c r="F9" s="18">
        <v>20.0</v>
      </c>
      <c r="G9" s="34" t="s">
        <v>65</v>
      </c>
      <c r="H9" s="6"/>
      <c r="I9" s="8"/>
      <c r="J9" s="23">
        <v>6.0</v>
      </c>
      <c r="K9" s="32" t="s">
        <v>66</v>
      </c>
      <c r="L9" s="6"/>
      <c r="M9" s="8"/>
      <c r="N9" s="23">
        <v>70.0</v>
      </c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18" t="s">
        <v>68</v>
      </c>
      <c r="B10" s="18">
        <v>65.0</v>
      </c>
      <c r="C10" s="20" t="s">
        <v>69</v>
      </c>
      <c r="D10" s="6"/>
      <c r="E10" s="8"/>
      <c r="F10" s="18">
        <v>15.0</v>
      </c>
      <c r="G10" s="34" t="s">
        <v>70</v>
      </c>
      <c r="H10" s="6"/>
      <c r="I10" s="8"/>
      <c r="J10" s="23">
        <v>25.0</v>
      </c>
      <c r="K10" s="40"/>
      <c r="L10" s="6"/>
      <c r="M10" s="8"/>
      <c r="N10" s="3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2.75" customHeight="1">
      <c r="A11" s="18" t="s">
        <v>71</v>
      </c>
      <c r="B11" s="18">
        <v>3.0</v>
      </c>
      <c r="C11" s="51" t="s">
        <v>72</v>
      </c>
      <c r="D11" s="52"/>
      <c r="E11" s="53"/>
      <c r="F11" s="18">
        <v>85.0</v>
      </c>
      <c r="G11" s="34" t="s">
        <v>74</v>
      </c>
      <c r="H11" s="6"/>
      <c r="I11" s="8"/>
      <c r="J11" s="23">
        <v>25.0</v>
      </c>
      <c r="K11" s="32" t="s">
        <v>75</v>
      </c>
      <c r="L11" s="6"/>
      <c r="M11" s="8"/>
      <c r="N11" s="23">
        <v>130.0</v>
      </c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18" t="s">
        <v>76</v>
      </c>
      <c r="B12" s="18">
        <v>20.0</v>
      </c>
      <c r="C12" s="20" t="s">
        <v>77</v>
      </c>
      <c r="D12" s="6"/>
      <c r="E12" s="8"/>
      <c r="F12" s="18">
        <v>80.0</v>
      </c>
      <c r="G12" s="34" t="s">
        <v>79</v>
      </c>
      <c r="H12" s="6"/>
      <c r="I12" s="8"/>
      <c r="J12" s="23">
        <v>15.0</v>
      </c>
      <c r="K12" s="32" t="s">
        <v>80</v>
      </c>
      <c r="L12" s="6"/>
      <c r="M12" s="8"/>
      <c r="N12" s="23">
        <v>90.0</v>
      </c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2.75" customHeight="1">
      <c r="A13" s="18"/>
      <c r="B13" s="18"/>
      <c r="C13" s="54" t="s">
        <v>81</v>
      </c>
      <c r="D13" s="55"/>
      <c r="E13" s="56"/>
      <c r="F13" s="18">
        <v>20.0</v>
      </c>
      <c r="G13" s="34" t="s">
        <v>83</v>
      </c>
      <c r="H13" s="6"/>
      <c r="I13" s="8"/>
      <c r="J13" s="23">
        <v>25.0</v>
      </c>
      <c r="K13" s="40"/>
      <c r="L13" s="6"/>
      <c r="M13" s="8"/>
      <c r="N13" s="3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18" t="s">
        <v>84</v>
      </c>
      <c r="B14" s="18">
        <v>300.0</v>
      </c>
      <c r="C14" s="20" t="s">
        <v>85</v>
      </c>
      <c r="D14" s="6"/>
      <c r="E14" s="8"/>
      <c r="F14" s="18">
        <v>10.0</v>
      </c>
      <c r="G14" s="34" t="s">
        <v>86</v>
      </c>
      <c r="H14" s="6"/>
      <c r="I14" s="8"/>
      <c r="J14" s="23">
        <v>500.0</v>
      </c>
      <c r="K14" s="40"/>
      <c r="L14" s="6"/>
      <c r="M14" s="8"/>
      <c r="N14" s="3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18" t="s">
        <v>87</v>
      </c>
      <c r="B15" s="18">
        <v>12.0</v>
      </c>
      <c r="C15" s="20" t="s">
        <v>88</v>
      </c>
      <c r="D15" s="6"/>
      <c r="E15" s="8"/>
      <c r="F15" s="18">
        <v>150.0</v>
      </c>
      <c r="G15" s="20"/>
      <c r="H15" s="6"/>
      <c r="I15" s="8"/>
      <c r="J15" s="18"/>
      <c r="K15" s="58" t="s">
        <v>90</v>
      </c>
      <c r="L15" s="6"/>
      <c r="M15" s="8"/>
      <c r="N15" s="23">
        <v>750.0</v>
      </c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23" t="s">
        <v>93</v>
      </c>
      <c r="B16" s="23">
        <v>30.0</v>
      </c>
      <c r="C16" s="34" t="s">
        <v>94</v>
      </c>
      <c r="D16" s="6"/>
      <c r="E16" s="8"/>
      <c r="F16" s="23">
        <v>40.0</v>
      </c>
      <c r="G16" s="20"/>
      <c r="H16" s="6"/>
      <c r="I16" s="8"/>
      <c r="J16" s="18"/>
      <c r="K16" s="32" t="s">
        <v>96</v>
      </c>
      <c r="L16" s="6"/>
      <c r="M16" s="8"/>
      <c r="N16" s="23">
        <v>50.0</v>
      </c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18" t="s">
        <v>97</v>
      </c>
      <c r="B17" s="18">
        <v>80.0</v>
      </c>
      <c r="C17" s="20" t="s">
        <v>98</v>
      </c>
      <c r="D17" s="6"/>
      <c r="E17" s="8"/>
      <c r="F17" s="18">
        <v>18.0</v>
      </c>
      <c r="G17" s="20"/>
      <c r="H17" s="6"/>
      <c r="I17" s="8"/>
      <c r="J17" s="18"/>
      <c r="K17" s="40"/>
      <c r="L17" s="6"/>
      <c r="M17" s="8"/>
      <c r="N17" s="3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18" t="s">
        <v>100</v>
      </c>
      <c r="B18" s="18">
        <v>40.0</v>
      </c>
      <c r="C18" s="20" t="s">
        <v>101</v>
      </c>
      <c r="D18" s="6"/>
      <c r="E18" s="8"/>
      <c r="F18" s="18">
        <v>23.0</v>
      </c>
      <c r="G18" s="20"/>
      <c r="H18" s="6"/>
      <c r="I18" s="8"/>
      <c r="J18" s="18"/>
      <c r="K18" s="40"/>
      <c r="L18" s="6"/>
      <c r="M18" s="8"/>
      <c r="N18" s="3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23" t="s">
        <v>103</v>
      </c>
      <c r="B19" s="23">
        <v>20.0</v>
      </c>
      <c r="C19" s="20" t="s">
        <v>104</v>
      </c>
      <c r="D19" s="6"/>
      <c r="E19" s="8"/>
      <c r="F19" s="18">
        <v>23.0</v>
      </c>
      <c r="G19" s="20"/>
      <c r="H19" s="6"/>
      <c r="I19" s="8"/>
      <c r="J19" s="18"/>
      <c r="K19" s="40"/>
      <c r="L19" s="6"/>
      <c r="M19" s="8"/>
      <c r="N19" s="3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18" t="s">
        <v>106</v>
      </c>
      <c r="B20" s="18">
        <v>60.0</v>
      </c>
      <c r="C20" s="20" t="s">
        <v>107</v>
      </c>
      <c r="D20" s="6"/>
      <c r="E20" s="8"/>
      <c r="F20" s="18">
        <v>35.0</v>
      </c>
      <c r="G20" s="20"/>
      <c r="H20" s="6"/>
      <c r="I20" s="8"/>
      <c r="J20" s="18"/>
      <c r="K20" s="40"/>
      <c r="L20" s="6"/>
      <c r="M20" s="8"/>
      <c r="N20" s="3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18" t="s">
        <v>108</v>
      </c>
      <c r="B21" s="18">
        <v>8.0</v>
      </c>
      <c r="C21" s="20" t="s">
        <v>109</v>
      </c>
      <c r="D21" s="6"/>
      <c r="E21" s="8"/>
      <c r="F21" s="18">
        <v>55.0</v>
      </c>
      <c r="G21" s="20"/>
      <c r="H21" s="6"/>
      <c r="I21" s="8"/>
      <c r="J21" s="18"/>
      <c r="K21" s="40"/>
      <c r="L21" s="6"/>
      <c r="M21" s="8"/>
      <c r="N21" s="3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18" t="s">
        <v>111</v>
      </c>
      <c r="B22" s="18">
        <v>40.0</v>
      </c>
      <c r="C22" s="20" t="s">
        <v>113</v>
      </c>
      <c r="D22" s="6"/>
      <c r="E22" s="8"/>
      <c r="F22" s="18">
        <v>111.0</v>
      </c>
      <c r="G22" s="20"/>
      <c r="H22" s="6"/>
      <c r="I22" s="8"/>
      <c r="J22" s="18"/>
      <c r="K22" s="40"/>
      <c r="L22" s="6"/>
      <c r="M22" s="8"/>
      <c r="N22" s="3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23" t="s">
        <v>114</v>
      </c>
      <c r="B23" s="23">
        <v>50.0</v>
      </c>
      <c r="C23" s="20" t="s">
        <v>115</v>
      </c>
      <c r="D23" s="6"/>
      <c r="E23" s="8"/>
      <c r="F23" s="18">
        <v>3.0</v>
      </c>
      <c r="G23" s="20"/>
      <c r="H23" s="6"/>
      <c r="I23" s="8"/>
      <c r="J23" s="18"/>
      <c r="K23" s="40"/>
      <c r="L23" s="6"/>
      <c r="M23" s="8"/>
      <c r="N23" s="3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2.75" customHeight="1">
      <c r="A25" s="62" t="s">
        <v>116</v>
      </c>
      <c r="B25" s="62" t="s">
        <v>117</v>
      </c>
      <c r="C25" s="62" t="s">
        <v>118</v>
      </c>
      <c r="D25" s="62" t="s">
        <v>0</v>
      </c>
      <c r="E25" s="62" t="s">
        <v>119</v>
      </c>
      <c r="F25" s="16">
        <v>1.4</v>
      </c>
      <c r="G25" s="62" t="s">
        <v>120</v>
      </c>
      <c r="H25" s="62" t="s">
        <v>121</v>
      </c>
      <c r="I25" s="62" t="s">
        <v>122</v>
      </c>
      <c r="J25" s="62" t="s">
        <v>123</v>
      </c>
      <c r="K25" s="62" t="s">
        <v>124</v>
      </c>
      <c r="L25" s="62" t="s">
        <v>125</v>
      </c>
      <c r="M25" s="62" t="s">
        <v>126</v>
      </c>
      <c r="N25" s="62" t="s">
        <v>127</v>
      </c>
      <c r="O25" s="62" t="s">
        <v>127</v>
      </c>
      <c r="P25" s="62" t="s">
        <v>127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16"/>
      <c r="B26" s="16"/>
      <c r="C26" s="68"/>
      <c r="D26" s="69"/>
      <c r="E26" s="70"/>
      <c r="F26" s="72"/>
      <c r="G26" s="73">
        <v>5.0</v>
      </c>
      <c r="H26" s="73">
        <v>3.0</v>
      </c>
      <c r="I26" s="73">
        <v>1.8</v>
      </c>
      <c r="J26" s="73">
        <v>1.1</v>
      </c>
      <c r="K26" s="73">
        <v>2.0</v>
      </c>
      <c r="L26" s="73">
        <v>2.0</v>
      </c>
      <c r="M26" s="73">
        <v>1.0</v>
      </c>
      <c r="N26" s="73">
        <v>0.0</v>
      </c>
      <c r="O26" s="73">
        <v>0.0</v>
      </c>
      <c r="P26" s="73">
        <v>0.0</v>
      </c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75" customHeight="1">
      <c r="A27" s="62" t="s">
        <v>130</v>
      </c>
      <c r="B27" s="16"/>
      <c r="C27" s="76"/>
      <c r="D27" s="77"/>
      <c r="E27" s="78">
        <f t="shared" ref="E27:E41" si="1">C27*D27</f>
        <v>0</v>
      </c>
      <c r="F27" s="72">
        <f>SUM(G28:M41)*$F$25</f>
        <v>2882.091002</v>
      </c>
      <c r="G27" s="79">
        <f t="shared" ref="G27:G41" si="2">IF(B27="metalas",E27*$G$26,0)</f>
        <v>0</v>
      </c>
      <c r="H27" s="79">
        <f t="shared" ref="H27:H41" si="3">IF(B27="LMDP",E27*$H$26,0)</f>
        <v>0</v>
      </c>
      <c r="I27" s="79">
        <f t="shared" ref="I27:I41" si="4">IF(B27="paslauga",E27*$I$26,0)</f>
        <v>0</v>
      </c>
      <c r="J27" s="79">
        <f t="shared" ref="J27:J41" si="5">IF(B27="masyvas",E27*$J$26,0)</f>
        <v>0</v>
      </c>
      <c r="K27" s="79">
        <f t="shared" ref="K27:K41" si="6">IF(B27="furnitura",E27*$K$26,0)</f>
        <v>0</v>
      </c>
      <c r="L27" s="79">
        <f t="shared" ref="L27:L41" si="7">IF(B27="stiklas",E27*$L$26,0)</f>
        <v>0</v>
      </c>
      <c r="M27" s="80">
        <f t="shared" ref="M27:M41" si="8">IF(B27="be kofo",E27*$M$26,0)</f>
        <v>0</v>
      </c>
      <c r="N27" s="79">
        <f t="shared" ref="N27:N41" si="9">IF(G27="paslauga",J27*$I$26,0)</f>
        <v>0</v>
      </c>
      <c r="O27" s="79">
        <f t="shared" ref="O27:O41" si="10">IF(G27="masyvas",J27*$J$26,0)</f>
        <v>0</v>
      </c>
      <c r="P27" s="79">
        <f t="shared" ref="P27:P41" si="11">IF(G27="furnitura",J27*$K$26,0)</f>
        <v>0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>
      <c r="A28" s="16" t="s">
        <v>132</v>
      </c>
      <c r="B28" s="16" t="s">
        <v>121</v>
      </c>
      <c r="C28" s="76">
        <f>C29+C30</f>
        <v>19.9442</v>
      </c>
      <c r="D28" s="81">
        <f>N2</f>
        <v>15</v>
      </c>
      <c r="E28" s="78">
        <f t="shared" si="1"/>
        <v>299.163</v>
      </c>
      <c r="F28" s="72"/>
      <c r="G28" s="79">
        <f t="shared" si="2"/>
        <v>0</v>
      </c>
      <c r="H28" s="79">
        <f t="shared" si="3"/>
        <v>897.489</v>
      </c>
      <c r="I28" s="79">
        <f t="shared" si="4"/>
        <v>0</v>
      </c>
      <c r="J28" s="79">
        <f t="shared" si="5"/>
        <v>0</v>
      </c>
      <c r="K28" s="79">
        <f t="shared" si="6"/>
        <v>0</v>
      </c>
      <c r="L28" s="79">
        <f t="shared" si="7"/>
        <v>0</v>
      </c>
      <c r="M28" s="80">
        <f t="shared" si="8"/>
        <v>0</v>
      </c>
      <c r="N28" s="79">
        <f t="shared" si="9"/>
        <v>0</v>
      </c>
      <c r="O28" s="79">
        <f t="shared" si="10"/>
        <v>0</v>
      </c>
      <c r="P28" s="79">
        <f t="shared" si="11"/>
        <v>0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75" customHeight="1">
      <c r="A29" s="16" t="s">
        <v>133</v>
      </c>
      <c r="B29" s="16" t="s">
        <v>134</v>
      </c>
      <c r="C29" s="76">
        <f>3.02*0.6*3+1.505*0.6*6+3.02*1.505</f>
        <v>15.3991</v>
      </c>
      <c r="D29" s="77">
        <f>J7</f>
        <v>18</v>
      </c>
      <c r="E29" s="78">
        <f t="shared" si="1"/>
        <v>277.1838</v>
      </c>
      <c r="F29" s="72"/>
      <c r="G29" s="79">
        <f t="shared" si="2"/>
        <v>0</v>
      </c>
      <c r="H29" s="79">
        <f t="shared" si="3"/>
        <v>0</v>
      </c>
      <c r="I29" s="79">
        <f t="shared" si="4"/>
        <v>0</v>
      </c>
      <c r="J29" s="79">
        <f t="shared" si="5"/>
        <v>304.90218</v>
      </c>
      <c r="K29" s="79">
        <f t="shared" si="6"/>
        <v>0</v>
      </c>
      <c r="L29" s="79">
        <f t="shared" si="7"/>
        <v>0</v>
      </c>
      <c r="M29" s="80">
        <f t="shared" si="8"/>
        <v>0</v>
      </c>
      <c r="N29" s="79">
        <f t="shared" si="9"/>
        <v>0</v>
      </c>
      <c r="O29" s="79">
        <f t="shared" si="10"/>
        <v>0</v>
      </c>
      <c r="P29" s="79">
        <f t="shared" si="11"/>
        <v>0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75" customHeight="1">
      <c r="A30" s="16" t="s">
        <v>135</v>
      </c>
      <c r="B30" s="16" t="s">
        <v>134</v>
      </c>
      <c r="C30" s="76">
        <f>3.02*1.505</f>
        <v>4.5451</v>
      </c>
      <c r="D30" s="77">
        <f>J11</f>
        <v>25</v>
      </c>
      <c r="E30" s="78">
        <f t="shared" si="1"/>
        <v>113.6275</v>
      </c>
      <c r="F30" s="72"/>
      <c r="G30" s="79">
        <f t="shared" si="2"/>
        <v>0</v>
      </c>
      <c r="H30" s="79">
        <f t="shared" si="3"/>
        <v>0</v>
      </c>
      <c r="I30" s="79">
        <f t="shared" si="4"/>
        <v>0</v>
      </c>
      <c r="J30" s="79">
        <f t="shared" si="5"/>
        <v>124.99025</v>
      </c>
      <c r="K30" s="79">
        <f t="shared" si="6"/>
        <v>0</v>
      </c>
      <c r="L30" s="79">
        <f t="shared" si="7"/>
        <v>0</v>
      </c>
      <c r="M30" s="80">
        <f t="shared" si="8"/>
        <v>0</v>
      </c>
      <c r="N30" s="79">
        <f t="shared" si="9"/>
        <v>0</v>
      </c>
      <c r="O30" s="79">
        <f t="shared" si="10"/>
        <v>0</v>
      </c>
      <c r="P30" s="79">
        <f t="shared" si="11"/>
        <v>0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>
      <c r="A31" s="16" t="s">
        <v>136</v>
      </c>
      <c r="B31" s="16" t="s">
        <v>137</v>
      </c>
      <c r="C31" s="76">
        <f>3*4+2*2</f>
        <v>16</v>
      </c>
      <c r="D31" s="77">
        <f t="shared" ref="D31:D33" si="12">J8</f>
        <v>6</v>
      </c>
      <c r="E31" s="78">
        <f t="shared" si="1"/>
        <v>96</v>
      </c>
      <c r="F31" s="72"/>
      <c r="G31" s="79">
        <f t="shared" si="2"/>
        <v>0</v>
      </c>
      <c r="H31" s="79">
        <f t="shared" si="3"/>
        <v>0</v>
      </c>
      <c r="I31" s="79">
        <f t="shared" si="4"/>
        <v>0</v>
      </c>
      <c r="J31" s="79">
        <f t="shared" si="5"/>
        <v>0</v>
      </c>
      <c r="K31" s="79">
        <f t="shared" si="6"/>
        <v>192</v>
      </c>
      <c r="L31" s="79">
        <f t="shared" si="7"/>
        <v>0</v>
      </c>
      <c r="M31" s="80">
        <f t="shared" si="8"/>
        <v>0</v>
      </c>
      <c r="N31" s="79">
        <f t="shared" si="9"/>
        <v>0</v>
      </c>
      <c r="O31" s="79">
        <f t="shared" si="10"/>
        <v>0</v>
      </c>
      <c r="P31" s="79">
        <f t="shared" si="11"/>
        <v>0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>
      <c r="A32" s="82" t="s">
        <v>65</v>
      </c>
      <c r="B32" s="16" t="s">
        <v>137</v>
      </c>
      <c r="C32" s="76">
        <v>2.0</v>
      </c>
      <c r="D32" s="77">
        <f t="shared" si="12"/>
        <v>6</v>
      </c>
      <c r="E32" s="78">
        <f t="shared" si="1"/>
        <v>12</v>
      </c>
      <c r="F32" s="72"/>
      <c r="G32" s="79">
        <f t="shared" si="2"/>
        <v>0</v>
      </c>
      <c r="H32" s="79">
        <f t="shared" si="3"/>
        <v>0</v>
      </c>
      <c r="I32" s="79">
        <f t="shared" si="4"/>
        <v>0</v>
      </c>
      <c r="J32" s="79">
        <f t="shared" si="5"/>
        <v>0</v>
      </c>
      <c r="K32" s="79">
        <f t="shared" si="6"/>
        <v>24</v>
      </c>
      <c r="L32" s="79">
        <f t="shared" si="7"/>
        <v>0</v>
      </c>
      <c r="M32" s="80">
        <f t="shared" si="8"/>
        <v>0</v>
      </c>
      <c r="N32" s="79">
        <f t="shared" si="9"/>
        <v>0</v>
      </c>
      <c r="O32" s="79">
        <f t="shared" si="10"/>
        <v>0</v>
      </c>
      <c r="P32" s="79">
        <f t="shared" si="11"/>
        <v>0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83" t="s">
        <v>138</v>
      </c>
      <c r="B33" s="16" t="s">
        <v>137</v>
      </c>
      <c r="C33" s="76">
        <v>3.0</v>
      </c>
      <c r="D33" s="77">
        <f t="shared" si="12"/>
        <v>25</v>
      </c>
      <c r="E33" s="78">
        <f t="shared" si="1"/>
        <v>75</v>
      </c>
      <c r="F33" s="72"/>
      <c r="G33" s="79">
        <f t="shared" si="2"/>
        <v>0</v>
      </c>
      <c r="H33" s="79">
        <f t="shared" si="3"/>
        <v>0</v>
      </c>
      <c r="I33" s="79">
        <f t="shared" si="4"/>
        <v>0</v>
      </c>
      <c r="J33" s="79">
        <f t="shared" si="5"/>
        <v>0</v>
      </c>
      <c r="K33" s="79">
        <f t="shared" si="6"/>
        <v>150</v>
      </c>
      <c r="L33" s="79">
        <f t="shared" si="7"/>
        <v>0</v>
      </c>
      <c r="M33" s="80">
        <f t="shared" si="8"/>
        <v>0</v>
      </c>
      <c r="N33" s="79">
        <f t="shared" si="9"/>
        <v>0</v>
      </c>
      <c r="O33" s="79">
        <f t="shared" si="10"/>
        <v>0</v>
      </c>
      <c r="P33" s="79">
        <f t="shared" si="11"/>
        <v>0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16" t="s">
        <v>59</v>
      </c>
      <c r="B34" s="16" t="s">
        <v>139</v>
      </c>
      <c r="C34" s="76">
        <f>C31+C32+C33</f>
        <v>21</v>
      </c>
      <c r="D34" s="77">
        <f>N7</f>
        <v>3</v>
      </c>
      <c r="E34" s="78">
        <f t="shared" si="1"/>
        <v>63</v>
      </c>
      <c r="F34" s="72"/>
      <c r="G34" s="79">
        <f t="shared" si="2"/>
        <v>0</v>
      </c>
      <c r="H34" s="79">
        <f t="shared" si="3"/>
        <v>0</v>
      </c>
      <c r="I34" s="79">
        <f t="shared" si="4"/>
        <v>0</v>
      </c>
      <c r="J34" s="79">
        <f t="shared" si="5"/>
        <v>0</v>
      </c>
      <c r="K34" s="79">
        <f t="shared" si="6"/>
        <v>0</v>
      </c>
      <c r="L34" s="79">
        <f t="shared" si="7"/>
        <v>0</v>
      </c>
      <c r="M34" s="80">
        <f t="shared" si="8"/>
        <v>63</v>
      </c>
      <c r="N34" s="79">
        <f t="shared" si="9"/>
        <v>0</v>
      </c>
      <c r="O34" s="79">
        <f t="shared" si="10"/>
        <v>0</v>
      </c>
      <c r="P34" s="79">
        <f t="shared" si="11"/>
        <v>0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16" t="s">
        <v>140</v>
      </c>
      <c r="B35" s="16" t="s">
        <v>139</v>
      </c>
      <c r="C35" s="76">
        <v>3.0</v>
      </c>
      <c r="D35" s="77">
        <f>J12</f>
        <v>15</v>
      </c>
      <c r="E35" s="78">
        <f t="shared" si="1"/>
        <v>45</v>
      </c>
      <c r="F35" s="72"/>
      <c r="G35" s="79">
        <f t="shared" si="2"/>
        <v>0</v>
      </c>
      <c r="H35" s="79">
        <f t="shared" si="3"/>
        <v>0</v>
      </c>
      <c r="I35" s="79">
        <f t="shared" si="4"/>
        <v>0</v>
      </c>
      <c r="J35" s="79">
        <f t="shared" si="5"/>
        <v>0</v>
      </c>
      <c r="K35" s="79">
        <f t="shared" si="6"/>
        <v>0</v>
      </c>
      <c r="L35" s="79">
        <f t="shared" si="7"/>
        <v>0</v>
      </c>
      <c r="M35" s="80">
        <f t="shared" si="8"/>
        <v>45</v>
      </c>
      <c r="N35" s="79">
        <f t="shared" si="9"/>
        <v>0</v>
      </c>
      <c r="O35" s="79">
        <f t="shared" si="10"/>
        <v>0</v>
      </c>
      <c r="P35" s="79">
        <f t="shared" si="11"/>
        <v>0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>
      <c r="A36" s="16" t="s">
        <v>141</v>
      </c>
      <c r="B36" s="16" t="s">
        <v>139</v>
      </c>
      <c r="C36" s="76">
        <v>3.0</v>
      </c>
      <c r="D36" s="77">
        <f>N8</f>
        <v>10</v>
      </c>
      <c r="E36" s="78">
        <f t="shared" si="1"/>
        <v>30</v>
      </c>
      <c r="F36" s="72"/>
      <c r="G36" s="79">
        <f t="shared" si="2"/>
        <v>0</v>
      </c>
      <c r="H36" s="79">
        <f t="shared" si="3"/>
        <v>0</v>
      </c>
      <c r="I36" s="79">
        <f t="shared" si="4"/>
        <v>0</v>
      </c>
      <c r="J36" s="79">
        <f t="shared" si="5"/>
        <v>0</v>
      </c>
      <c r="K36" s="79">
        <f t="shared" si="6"/>
        <v>0</v>
      </c>
      <c r="L36" s="79">
        <f t="shared" si="7"/>
        <v>0</v>
      </c>
      <c r="M36" s="80">
        <f t="shared" si="8"/>
        <v>30</v>
      </c>
      <c r="N36" s="79">
        <f t="shared" si="9"/>
        <v>0</v>
      </c>
      <c r="O36" s="79">
        <f t="shared" si="10"/>
        <v>0</v>
      </c>
      <c r="P36" s="79">
        <f t="shared" si="11"/>
        <v>0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16" t="s">
        <v>103</v>
      </c>
      <c r="B37" s="16" t="s">
        <v>139</v>
      </c>
      <c r="C37" s="76">
        <f>C30</f>
        <v>4.5451</v>
      </c>
      <c r="D37" s="77">
        <f>B19</f>
        <v>20</v>
      </c>
      <c r="E37" s="78">
        <f t="shared" si="1"/>
        <v>90.902</v>
      </c>
      <c r="F37" s="72"/>
      <c r="G37" s="79">
        <f t="shared" si="2"/>
        <v>0</v>
      </c>
      <c r="H37" s="79">
        <f t="shared" si="3"/>
        <v>0</v>
      </c>
      <c r="I37" s="79">
        <f t="shared" si="4"/>
        <v>0</v>
      </c>
      <c r="J37" s="79">
        <f t="shared" si="5"/>
        <v>0</v>
      </c>
      <c r="K37" s="79">
        <f t="shared" si="6"/>
        <v>0</v>
      </c>
      <c r="L37" s="79">
        <f t="shared" si="7"/>
        <v>0</v>
      </c>
      <c r="M37" s="80">
        <f t="shared" si="8"/>
        <v>90.902</v>
      </c>
      <c r="N37" s="79">
        <f t="shared" si="9"/>
        <v>0</v>
      </c>
      <c r="O37" s="79">
        <f t="shared" si="10"/>
        <v>0</v>
      </c>
      <c r="P37" s="79">
        <f t="shared" si="11"/>
        <v>0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16" t="s">
        <v>93</v>
      </c>
      <c r="B38" s="16" t="s">
        <v>139</v>
      </c>
      <c r="C38" s="76">
        <f>C30</f>
        <v>4.5451</v>
      </c>
      <c r="D38" s="77">
        <f>B16</f>
        <v>30</v>
      </c>
      <c r="E38" s="78">
        <f t="shared" si="1"/>
        <v>136.353</v>
      </c>
      <c r="F38" s="72"/>
      <c r="G38" s="79">
        <f t="shared" si="2"/>
        <v>0</v>
      </c>
      <c r="H38" s="79">
        <f t="shared" si="3"/>
        <v>0</v>
      </c>
      <c r="I38" s="79">
        <f t="shared" si="4"/>
        <v>0</v>
      </c>
      <c r="J38" s="79">
        <f t="shared" si="5"/>
        <v>0</v>
      </c>
      <c r="K38" s="79">
        <f t="shared" si="6"/>
        <v>0</v>
      </c>
      <c r="L38" s="79">
        <f t="shared" si="7"/>
        <v>0</v>
      </c>
      <c r="M38" s="80">
        <f t="shared" si="8"/>
        <v>136.353</v>
      </c>
      <c r="N38" s="79">
        <f t="shared" si="9"/>
        <v>0</v>
      </c>
      <c r="O38" s="79">
        <f t="shared" si="10"/>
        <v>0</v>
      </c>
      <c r="P38" s="79">
        <f t="shared" si="11"/>
        <v>0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16"/>
      <c r="B39" s="16" t="s">
        <v>139</v>
      </c>
      <c r="C39" s="76"/>
      <c r="D39" s="77"/>
      <c r="E39" s="78">
        <f t="shared" si="1"/>
        <v>0</v>
      </c>
      <c r="F39" s="72"/>
      <c r="G39" s="79">
        <f t="shared" si="2"/>
        <v>0</v>
      </c>
      <c r="H39" s="79">
        <f t="shared" si="3"/>
        <v>0</v>
      </c>
      <c r="I39" s="79">
        <f t="shared" si="4"/>
        <v>0</v>
      </c>
      <c r="J39" s="79">
        <f t="shared" si="5"/>
        <v>0</v>
      </c>
      <c r="K39" s="79">
        <f t="shared" si="6"/>
        <v>0</v>
      </c>
      <c r="L39" s="79">
        <f t="shared" si="7"/>
        <v>0</v>
      </c>
      <c r="M39" s="80">
        <f t="shared" si="8"/>
        <v>0</v>
      </c>
      <c r="N39" s="79">
        <f t="shared" si="9"/>
        <v>0</v>
      </c>
      <c r="O39" s="79">
        <f t="shared" si="10"/>
        <v>0</v>
      </c>
      <c r="P39" s="79">
        <f t="shared" si="11"/>
        <v>0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16"/>
      <c r="B40" s="16" t="s">
        <v>143</v>
      </c>
      <c r="C40" s="76"/>
      <c r="D40" s="77"/>
      <c r="E40" s="78">
        <f t="shared" si="1"/>
        <v>0</v>
      </c>
      <c r="F40" s="72"/>
      <c r="G40" s="79">
        <f t="shared" si="2"/>
        <v>0</v>
      </c>
      <c r="H40" s="79">
        <f t="shared" si="3"/>
        <v>0</v>
      </c>
      <c r="I40" s="79">
        <f t="shared" si="4"/>
        <v>0</v>
      </c>
      <c r="J40" s="79">
        <f t="shared" si="5"/>
        <v>0</v>
      </c>
      <c r="K40" s="79">
        <f t="shared" si="6"/>
        <v>0</v>
      </c>
      <c r="L40" s="79">
        <f t="shared" si="7"/>
        <v>0</v>
      </c>
      <c r="M40" s="80">
        <f t="shared" si="8"/>
        <v>0</v>
      </c>
      <c r="N40" s="79">
        <f t="shared" si="9"/>
        <v>0</v>
      </c>
      <c r="O40" s="79">
        <f t="shared" si="10"/>
        <v>0</v>
      </c>
      <c r="P40" s="79">
        <f t="shared" si="11"/>
        <v>0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16"/>
      <c r="B41" s="16" t="s">
        <v>143</v>
      </c>
      <c r="C41" s="76"/>
      <c r="D41" s="77"/>
      <c r="E41" s="78">
        <f t="shared" si="1"/>
        <v>0</v>
      </c>
      <c r="F41" s="72"/>
      <c r="G41" s="79">
        <f t="shared" si="2"/>
        <v>0</v>
      </c>
      <c r="H41" s="79">
        <f t="shared" si="3"/>
        <v>0</v>
      </c>
      <c r="I41" s="79">
        <f t="shared" si="4"/>
        <v>0</v>
      </c>
      <c r="J41" s="79">
        <f t="shared" si="5"/>
        <v>0</v>
      </c>
      <c r="K41" s="79">
        <f t="shared" si="6"/>
        <v>0</v>
      </c>
      <c r="L41" s="79">
        <f t="shared" si="7"/>
        <v>0</v>
      </c>
      <c r="M41" s="80">
        <f t="shared" si="8"/>
        <v>0</v>
      </c>
      <c r="N41" s="79">
        <f t="shared" si="9"/>
        <v>0</v>
      </c>
      <c r="O41" s="79">
        <f t="shared" si="10"/>
        <v>0</v>
      </c>
      <c r="P41" s="79">
        <f t="shared" si="11"/>
        <v>0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>
      <c r="A42" s="62"/>
      <c r="B42" s="16"/>
      <c r="C42" s="62"/>
      <c r="D42" s="16"/>
      <c r="E42" s="16"/>
      <c r="F42" s="72"/>
      <c r="G42" s="73">
        <f t="shared" ref="G42:P42" si="13">SUM(G27:G41)</f>
        <v>0</v>
      </c>
      <c r="H42" s="73">
        <f t="shared" si="13"/>
        <v>897.489</v>
      </c>
      <c r="I42" s="73">
        <f t="shared" si="13"/>
        <v>0</v>
      </c>
      <c r="J42" s="73">
        <f t="shared" si="13"/>
        <v>429.89243</v>
      </c>
      <c r="K42" s="73">
        <f t="shared" si="13"/>
        <v>366</v>
      </c>
      <c r="L42" s="73">
        <f t="shared" si="13"/>
        <v>0</v>
      </c>
      <c r="M42" s="73">
        <f t="shared" si="13"/>
        <v>365.255</v>
      </c>
      <c r="N42" s="73">
        <f t="shared" si="13"/>
        <v>0</v>
      </c>
      <c r="O42" s="73">
        <f t="shared" si="13"/>
        <v>0</v>
      </c>
      <c r="P42" s="73">
        <f t="shared" si="13"/>
        <v>0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75" customHeight="1">
      <c r="A43" s="16"/>
      <c r="B43" s="16"/>
      <c r="C43" s="16"/>
      <c r="D43" s="16"/>
      <c r="E43" s="16"/>
      <c r="F43" s="72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>
      <c r="A45" s="62" t="s">
        <v>144</v>
      </c>
      <c r="B45" s="16"/>
      <c r="C45" s="76"/>
      <c r="D45" s="77"/>
      <c r="E45" s="78">
        <f t="shared" ref="E45:E55" si="14">C45*D45</f>
        <v>0</v>
      </c>
      <c r="F45" s="72">
        <f>SUM(G46:M55)*$F$25</f>
        <v>1419.9885</v>
      </c>
      <c r="G45" s="79">
        <f t="shared" ref="G45:G55" si="15">IF(B45="metalas",E45*$G$26,0)</f>
        <v>0</v>
      </c>
      <c r="H45" s="79">
        <f t="shared" ref="H45:H55" si="16">IF(B45="LMDP",E45*$H$26,0)</f>
        <v>0</v>
      </c>
      <c r="I45" s="79">
        <f t="shared" ref="I45:I55" si="17">IF(B45="paslauga",E45*$I$26,0)</f>
        <v>0</v>
      </c>
      <c r="J45" s="79">
        <f t="shared" ref="J45:J55" si="18">IF(B45="masyvas",E45*$J$26,0)</f>
        <v>0</v>
      </c>
      <c r="K45" s="79">
        <f t="shared" ref="K45:K55" si="19">IF(B45="furnitura",E45*$K$26,0)</f>
        <v>0</v>
      </c>
      <c r="L45" s="79">
        <f t="shared" ref="L45:L55" si="20">IF(B45="stiklas",E45*$L$26,0)</f>
        <v>0</v>
      </c>
      <c r="M45" s="80">
        <f t="shared" ref="M45:M55" si="21">IF(B45="be kofo",E45*$M$26,0)</f>
        <v>0</v>
      </c>
      <c r="N45" s="79">
        <f t="shared" ref="N45:N55" si="22">IF(G45="paslauga",J45*$I$26,0)</f>
        <v>0</v>
      </c>
      <c r="O45" s="79">
        <f t="shared" ref="O45:O55" si="23">IF(G45="masyvas",J45*$J$26,0)</f>
        <v>0</v>
      </c>
      <c r="P45" s="79">
        <f t="shared" ref="P45:P55" si="24">IF(G45="furnitura",J45*$K$26,0)</f>
        <v>0</v>
      </c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>
      <c r="A46" s="16" t="s">
        <v>132</v>
      </c>
      <c r="B46" s="16" t="s">
        <v>121</v>
      </c>
      <c r="C46" s="76">
        <f>C47</f>
        <v>5.439</v>
      </c>
      <c r="D46" s="81">
        <f>N2</f>
        <v>15</v>
      </c>
      <c r="E46" s="78">
        <f t="shared" si="14"/>
        <v>81.585</v>
      </c>
      <c r="F46" s="72"/>
      <c r="G46" s="79">
        <f t="shared" si="15"/>
        <v>0</v>
      </c>
      <c r="H46" s="79">
        <f t="shared" si="16"/>
        <v>244.755</v>
      </c>
      <c r="I46" s="79">
        <f t="shared" si="17"/>
        <v>0</v>
      </c>
      <c r="J46" s="79">
        <f t="shared" si="18"/>
        <v>0</v>
      </c>
      <c r="K46" s="79">
        <f t="shared" si="19"/>
        <v>0</v>
      </c>
      <c r="L46" s="79">
        <f t="shared" si="20"/>
        <v>0</v>
      </c>
      <c r="M46" s="80">
        <f t="shared" si="21"/>
        <v>0</v>
      </c>
      <c r="N46" s="79">
        <f t="shared" si="22"/>
        <v>0</v>
      </c>
      <c r="O46" s="79">
        <f t="shared" si="23"/>
        <v>0</v>
      </c>
      <c r="P46" s="79">
        <f t="shared" si="24"/>
        <v>0</v>
      </c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16" t="s">
        <v>133</v>
      </c>
      <c r="B47" s="16" t="s">
        <v>134</v>
      </c>
      <c r="C47" s="76">
        <f>3.27*0.36*2+1.09*0.36+0.38*0.38*4+3.27*0.38+1.09*0.4*2</f>
        <v>5.439</v>
      </c>
      <c r="D47" s="77">
        <f>J11</f>
        <v>25</v>
      </c>
      <c r="E47" s="78">
        <f t="shared" si="14"/>
        <v>135.975</v>
      </c>
      <c r="F47" s="72"/>
      <c r="G47" s="79">
        <f t="shared" si="15"/>
        <v>0</v>
      </c>
      <c r="H47" s="79">
        <f t="shared" si="16"/>
        <v>0</v>
      </c>
      <c r="I47" s="79">
        <f t="shared" si="17"/>
        <v>0</v>
      </c>
      <c r="J47" s="79">
        <f t="shared" si="18"/>
        <v>149.5725</v>
      </c>
      <c r="K47" s="79">
        <f t="shared" si="19"/>
        <v>0</v>
      </c>
      <c r="L47" s="79">
        <f t="shared" si="20"/>
        <v>0</v>
      </c>
      <c r="M47" s="80">
        <f t="shared" si="21"/>
        <v>0</v>
      </c>
      <c r="N47" s="79">
        <f t="shared" si="22"/>
        <v>0</v>
      </c>
      <c r="O47" s="79">
        <f t="shared" si="23"/>
        <v>0</v>
      </c>
      <c r="P47" s="79">
        <f t="shared" si="24"/>
        <v>0</v>
      </c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16" t="s">
        <v>145</v>
      </c>
      <c r="B48" s="16" t="s">
        <v>139</v>
      </c>
      <c r="C48" s="76">
        <v>2.0</v>
      </c>
      <c r="D48" s="77">
        <f>N11</f>
        <v>130</v>
      </c>
      <c r="E48" s="78">
        <f t="shared" si="14"/>
        <v>260</v>
      </c>
      <c r="F48" s="72"/>
      <c r="G48" s="79">
        <f t="shared" si="15"/>
        <v>0</v>
      </c>
      <c r="H48" s="79">
        <f t="shared" si="16"/>
        <v>0</v>
      </c>
      <c r="I48" s="79">
        <f t="shared" si="17"/>
        <v>0</v>
      </c>
      <c r="J48" s="79">
        <f t="shared" si="18"/>
        <v>0</v>
      </c>
      <c r="K48" s="79">
        <f t="shared" si="19"/>
        <v>0</v>
      </c>
      <c r="L48" s="79">
        <f t="shared" si="20"/>
        <v>0</v>
      </c>
      <c r="M48" s="80">
        <f t="shared" si="21"/>
        <v>260</v>
      </c>
      <c r="N48" s="79">
        <f t="shared" si="22"/>
        <v>0</v>
      </c>
      <c r="O48" s="79">
        <f t="shared" si="23"/>
        <v>0</v>
      </c>
      <c r="P48" s="79">
        <f t="shared" si="24"/>
        <v>0</v>
      </c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83" t="s">
        <v>146</v>
      </c>
      <c r="B49" s="16" t="s">
        <v>139</v>
      </c>
      <c r="C49" s="76">
        <v>2.0</v>
      </c>
      <c r="D49" s="77">
        <f>N3</f>
        <v>35</v>
      </c>
      <c r="E49" s="78">
        <f t="shared" si="14"/>
        <v>70</v>
      </c>
      <c r="F49" s="72"/>
      <c r="G49" s="79">
        <f t="shared" si="15"/>
        <v>0</v>
      </c>
      <c r="H49" s="79">
        <f t="shared" si="16"/>
        <v>0</v>
      </c>
      <c r="I49" s="79">
        <f t="shared" si="17"/>
        <v>0</v>
      </c>
      <c r="J49" s="79">
        <f t="shared" si="18"/>
        <v>0</v>
      </c>
      <c r="K49" s="79">
        <f t="shared" si="19"/>
        <v>0</v>
      </c>
      <c r="L49" s="79">
        <f t="shared" si="20"/>
        <v>0</v>
      </c>
      <c r="M49" s="80">
        <f t="shared" si="21"/>
        <v>70</v>
      </c>
      <c r="N49" s="79">
        <f t="shared" si="22"/>
        <v>0</v>
      </c>
      <c r="O49" s="79">
        <f t="shared" si="23"/>
        <v>0</v>
      </c>
      <c r="P49" s="79">
        <f t="shared" si="24"/>
        <v>0</v>
      </c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6" t="s">
        <v>136</v>
      </c>
      <c r="B50" s="16" t="s">
        <v>139</v>
      </c>
      <c r="C50" s="76">
        <v>2.0</v>
      </c>
      <c r="D50" s="77">
        <f>J8</f>
        <v>6</v>
      </c>
      <c r="E50" s="78">
        <f t="shared" si="14"/>
        <v>12</v>
      </c>
      <c r="F50" s="72"/>
      <c r="G50" s="79">
        <f t="shared" si="15"/>
        <v>0</v>
      </c>
      <c r="H50" s="79">
        <f t="shared" si="16"/>
        <v>0</v>
      </c>
      <c r="I50" s="79">
        <f t="shared" si="17"/>
        <v>0</v>
      </c>
      <c r="J50" s="79">
        <f t="shared" si="18"/>
        <v>0</v>
      </c>
      <c r="K50" s="79">
        <f t="shared" si="19"/>
        <v>0</v>
      </c>
      <c r="L50" s="79">
        <f t="shared" si="20"/>
        <v>0</v>
      </c>
      <c r="M50" s="80">
        <f t="shared" si="21"/>
        <v>12</v>
      </c>
      <c r="N50" s="79">
        <f t="shared" si="22"/>
        <v>0</v>
      </c>
      <c r="O50" s="79">
        <f t="shared" si="23"/>
        <v>0</v>
      </c>
      <c r="P50" s="79">
        <f t="shared" si="24"/>
        <v>0</v>
      </c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16" t="s">
        <v>59</v>
      </c>
      <c r="B51" s="16" t="s">
        <v>139</v>
      </c>
      <c r="C51" s="76">
        <v>2.0</v>
      </c>
      <c r="D51" s="77">
        <f>N7</f>
        <v>3</v>
      </c>
      <c r="E51" s="78">
        <f t="shared" si="14"/>
        <v>6</v>
      </c>
      <c r="F51" s="72"/>
      <c r="G51" s="79">
        <f t="shared" si="15"/>
        <v>0</v>
      </c>
      <c r="H51" s="79">
        <f t="shared" si="16"/>
        <v>0</v>
      </c>
      <c r="I51" s="79">
        <f t="shared" si="17"/>
        <v>0</v>
      </c>
      <c r="J51" s="79">
        <f t="shared" si="18"/>
        <v>0</v>
      </c>
      <c r="K51" s="79">
        <f t="shared" si="19"/>
        <v>0</v>
      </c>
      <c r="L51" s="79">
        <f t="shared" si="20"/>
        <v>0</v>
      </c>
      <c r="M51" s="80">
        <f t="shared" si="21"/>
        <v>6</v>
      </c>
      <c r="N51" s="79">
        <f t="shared" si="22"/>
        <v>0</v>
      </c>
      <c r="O51" s="79">
        <f t="shared" si="23"/>
        <v>0</v>
      </c>
      <c r="P51" s="79">
        <f t="shared" si="24"/>
        <v>0</v>
      </c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16" t="s">
        <v>103</v>
      </c>
      <c r="B52" s="16" t="s">
        <v>139</v>
      </c>
      <c r="C52" s="76">
        <f>C47</f>
        <v>5.439</v>
      </c>
      <c r="D52" s="77">
        <f>B19</f>
        <v>20</v>
      </c>
      <c r="E52" s="78">
        <f t="shared" si="14"/>
        <v>108.78</v>
      </c>
      <c r="F52" s="72"/>
      <c r="G52" s="79">
        <f t="shared" si="15"/>
        <v>0</v>
      </c>
      <c r="H52" s="79">
        <f t="shared" si="16"/>
        <v>0</v>
      </c>
      <c r="I52" s="79">
        <f t="shared" si="17"/>
        <v>0</v>
      </c>
      <c r="J52" s="79">
        <f t="shared" si="18"/>
        <v>0</v>
      </c>
      <c r="K52" s="79">
        <f t="shared" si="19"/>
        <v>0</v>
      </c>
      <c r="L52" s="79">
        <f t="shared" si="20"/>
        <v>0</v>
      </c>
      <c r="M52" s="80">
        <f t="shared" si="21"/>
        <v>108.78</v>
      </c>
      <c r="N52" s="79">
        <f t="shared" si="22"/>
        <v>0</v>
      </c>
      <c r="O52" s="79">
        <f t="shared" si="23"/>
        <v>0</v>
      </c>
      <c r="P52" s="79">
        <f t="shared" si="24"/>
        <v>0</v>
      </c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16" t="s">
        <v>93</v>
      </c>
      <c r="B53" s="16" t="s">
        <v>139</v>
      </c>
      <c r="C53" s="76">
        <f>C47</f>
        <v>5.439</v>
      </c>
      <c r="D53" s="77">
        <f>B16</f>
        <v>30</v>
      </c>
      <c r="E53" s="78">
        <f t="shared" si="14"/>
        <v>163.17</v>
      </c>
      <c r="F53" s="72"/>
      <c r="G53" s="79">
        <f t="shared" si="15"/>
        <v>0</v>
      </c>
      <c r="H53" s="79">
        <f t="shared" si="16"/>
        <v>0</v>
      </c>
      <c r="I53" s="79">
        <f t="shared" si="17"/>
        <v>0</v>
      </c>
      <c r="J53" s="79">
        <f t="shared" si="18"/>
        <v>0</v>
      </c>
      <c r="K53" s="79">
        <f t="shared" si="19"/>
        <v>0</v>
      </c>
      <c r="L53" s="79">
        <f t="shared" si="20"/>
        <v>0</v>
      </c>
      <c r="M53" s="80">
        <f t="shared" si="21"/>
        <v>163.17</v>
      </c>
      <c r="N53" s="79">
        <f t="shared" si="22"/>
        <v>0</v>
      </c>
      <c r="O53" s="79">
        <f t="shared" si="23"/>
        <v>0</v>
      </c>
      <c r="P53" s="79">
        <f t="shared" si="24"/>
        <v>0</v>
      </c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16"/>
      <c r="B54" s="16" t="s">
        <v>143</v>
      </c>
      <c r="C54" s="76"/>
      <c r="D54" s="77"/>
      <c r="E54" s="78">
        <f t="shared" si="14"/>
        <v>0</v>
      </c>
      <c r="F54" s="72"/>
      <c r="G54" s="79">
        <f t="shared" si="15"/>
        <v>0</v>
      </c>
      <c r="H54" s="79">
        <f t="shared" si="16"/>
        <v>0</v>
      </c>
      <c r="I54" s="79">
        <f t="shared" si="17"/>
        <v>0</v>
      </c>
      <c r="J54" s="79">
        <f t="shared" si="18"/>
        <v>0</v>
      </c>
      <c r="K54" s="79">
        <f t="shared" si="19"/>
        <v>0</v>
      </c>
      <c r="L54" s="79">
        <f t="shared" si="20"/>
        <v>0</v>
      </c>
      <c r="M54" s="80">
        <f t="shared" si="21"/>
        <v>0</v>
      </c>
      <c r="N54" s="79">
        <f t="shared" si="22"/>
        <v>0</v>
      </c>
      <c r="O54" s="79">
        <f t="shared" si="23"/>
        <v>0</v>
      </c>
      <c r="P54" s="79">
        <f t="shared" si="24"/>
        <v>0</v>
      </c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16"/>
      <c r="B55" s="16" t="s">
        <v>143</v>
      </c>
      <c r="C55" s="76"/>
      <c r="D55" s="77"/>
      <c r="E55" s="78">
        <f t="shared" si="14"/>
        <v>0</v>
      </c>
      <c r="F55" s="72"/>
      <c r="G55" s="79">
        <f t="shared" si="15"/>
        <v>0</v>
      </c>
      <c r="H55" s="79">
        <f t="shared" si="16"/>
        <v>0</v>
      </c>
      <c r="I55" s="79">
        <f t="shared" si="17"/>
        <v>0</v>
      </c>
      <c r="J55" s="79">
        <f t="shared" si="18"/>
        <v>0</v>
      </c>
      <c r="K55" s="79">
        <f t="shared" si="19"/>
        <v>0</v>
      </c>
      <c r="L55" s="79">
        <f t="shared" si="20"/>
        <v>0</v>
      </c>
      <c r="M55" s="80">
        <f t="shared" si="21"/>
        <v>0</v>
      </c>
      <c r="N55" s="79">
        <f t="shared" si="22"/>
        <v>0</v>
      </c>
      <c r="O55" s="79">
        <f t="shared" si="23"/>
        <v>0</v>
      </c>
      <c r="P55" s="79">
        <f t="shared" si="24"/>
        <v>0</v>
      </c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62"/>
      <c r="B56" s="16"/>
      <c r="C56" s="62"/>
      <c r="D56" s="16"/>
      <c r="E56" s="16"/>
      <c r="F56" s="72"/>
      <c r="G56" s="73">
        <f t="shared" ref="G56:P56" si="25">SUM(G45:G55)</f>
        <v>0</v>
      </c>
      <c r="H56" s="73">
        <f t="shared" si="25"/>
        <v>244.755</v>
      </c>
      <c r="I56" s="73">
        <f t="shared" si="25"/>
        <v>0</v>
      </c>
      <c r="J56" s="73">
        <f t="shared" si="25"/>
        <v>149.5725</v>
      </c>
      <c r="K56" s="73">
        <f t="shared" si="25"/>
        <v>0</v>
      </c>
      <c r="L56" s="73">
        <f t="shared" si="25"/>
        <v>0</v>
      </c>
      <c r="M56" s="73">
        <f t="shared" si="25"/>
        <v>619.95</v>
      </c>
      <c r="N56" s="73">
        <f t="shared" si="25"/>
        <v>0</v>
      </c>
      <c r="O56" s="73">
        <f t="shared" si="25"/>
        <v>0</v>
      </c>
      <c r="P56" s="73">
        <f t="shared" si="25"/>
        <v>0</v>
      </c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62" t="s">
        <v>147</v>
      </c>
      <c r="B59" s="16"/>
      <c r="C59" s="76"/>
      <c r="D59" s="77"/>
      <c r="E59" s="78">
        <f t="shared" ref="E59:E73" si="26">C59*D59</f>
        <v>0</v>
      </c>
      <c r="F59" s="72">
        <f>SUM(G60:M73)*$F$25</f>
        <v>4102.11424</v>
      </c>
      <c r="G59" s="79">
        <f t="shared" ref="G59:G73" si="27">IF(B59="metalas",E59*$G$26,0)</f>
        <v>0</v>
      </c>
      <c r="H59" s="79">
        <f t="shared" ref="H59:H73" si="28">IF(B59="LMDP",E59*$H$26,0)</f>
        <v>0</v>
      </c>
      <c r="I59" s="79">
        <f t="shared" ref="I59:I73" si="29">IF(B59="paslauga",E59*$I$26,0)</f>
        <v>0</v>
      </c>
      <c r="J59" s="79">
        <f t="shared" ref="J59:J73" si="30">IF(B59="masyvas",E59*$J$26,0)</f>
        <v>0</v>
      </c>
      <c r="K59" s="79">
        <f t="shared" ref="K59:K73" si="31">IF(B59="furnitura",E59*$K$26,0)</f>
        <v>0</v>
      </c>
      <c r="L59" s="79">
        <f t="shared" ref="L59:L73" si="32">IF(B59="stiklas",E59*$L$26,0)</f>
        <v>0</v>
      </c>
      <c r="M59" s="80">
        <f t="shared" ref="M59:M73" si="33">IF(B59="be kofo",E59*$M$26,0)</f>
        <v>0</v>
      </c>
      <c r="N59" s="79">
        <f t="shared" ref="N59:N73" si="34">IF(G59="paslauga",J59*$I$26,0)</f>
        <v>0</v>
      </c>
      <c r="O59" s="79">
        <f t="shared" ref="O59:O73" si="35">IF(G59="masyvas",J59*$J$26,0)</f>
        <v>0</v>
      </c>
      <c r="P59" s="79">
        <f t="shared" ref="P59:P73" si="36">IF(G59="furnitura",J59*$K$26,0)</f>
        <v>0</v>
      </c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6" t="s">
        <v>132</v>
      </c>
      <c r="B60" s="16" t="s">
        <v>121</v>
      </c>
      <c r="C60" s="76">
        <f>C61+C62+C63</f>
        <v>9.5445</v>
      </c>
      <c r="D60" s="81">
        <f>N2</f>
        <v>15</v>
      </c>
      <c r="E60" s="78">
        <f t="shared" si="26"/>
        <v>143.1675</v>
      </c>
      <c r="F60" s="72"/>
      <c r="G60" s="79">
        <f t="shared" si="27"/>
        <v>0</v>
      </c>
      <c r="H60" s="79">
        <f t="shared" si="28"/>
        <v>429.5025</v>
      </c>
      <c r="I60" s="79">
        <f t="shared" si="29"/>
        <v>0</v>
      </c>
      <c r="J60" s="79">
        <f t="shared" si="30"/>
        <v>0</v>
      </c>
      <c r="K60" s="79">
        <f t="shared" si="31"/>
        <v>0</v>
      </c>
      <c r="L60" s="79">
        <f t="shared" si="32"/>
        <v>0</v>
      </c>
      <c r="M60" s="80">
        <f t="shared" si="33"/>
        <v>0</v>
      </c>
      <c r="N60" s="79">
        <f t="shared" si="34"/>
        <v>0</v>
      </c>
      <c r="O60" s="79">
        <f t="shared" si="35"/>
        <v>0</v>
      </c>
      <c r="P60" s="79">
        <f t="shared" si="36"/>
        <v>0</v>
      </c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6" t="s">
        <v>133</v>
      </c>
      <c r="B61" s="16" t="s">
        <v>134</v>
      </c>
      <c r="C61" s="76">
        <f>0.9*0.54*4+1.35*0.54*2+1.35*0.9</f>
        <v>4.617</v>
      </c>
      <c r="D61" s="77">
        <f>J7</f>
        <v>18</v>
      </c>
      <c r="E61" s="78">
        <f t="shared" si="26"/>
        <v>83.106</v>
      </c>
      <c r="F61" s="72"/>
      <c r="G61" s="79">
        <f t="shared" si="27"/>
        <v>0</v>
      </c>
      <c r="H61" s="79">
        <f t="shared" si="28"/>
        <v>0</v>
      </c>
      <c r="I61" s="79">
        <f t="shared" si="29"/>
        <v>0</v>
      </c>
      <c r="J61" s="79">
        <f t="shared" si="30"/>
        <v>91.4166</v>
      </c>
      <c r="K61" s="79">
        <f t="shared" si="31"/>
        <v>0</v>
      </c>
      <c r="L61" s="79">
        <f t="shared" si="32"/>
        <v>0</v>
      </c>
      <c r="M61" s="80">
        <f t="shared" si="33"/>
        <v>0</v>
      </c>
      <c r="N61" s="79">
        <f t="shared" si="34"/>
        <v>0</v>
      </c>
      <c r="O61" s="79">
        <f t="shared" si="35"/>
        <v>0</v>
      </c>
      <c r="P61" s="79">
        <f t="shared" si="36"/>
        <v>0</v>
      </c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6" t="s">
        <v>5</v>
      </c>
      <c r="B62" s="16" t="s">
        <v>134</v>
      </c>
      <c r="C62" s="76">
        <f>1.35*0.9</f>
        <v>1.215</v>
      </c>
      <c r="D62" s="77">
        <f>J11</f>
        <v>25</v>
      </c>
      <c r="E62" s="78">
        <f t="shared" si="26"/>
        <v>30.375</v>
      </c>
      <c r="F62" s="72"/>
      <c r="G62" s="79">
        <f t="shared" si="27"/>
        <v>0</v>
      </c>
      <c r="H62" s="79">
        <f t="shared" si="28"/>
        <v>0</v>
      </c>
      <c r="I62" s="79">
        <f t="shared" si="29"/>
        <v>0</v>
      </c>
      <c r="J62" s="79">
        <f t="shared" si="30"/>
        <v>33.4125</v>
      </c>
      <c r="K62" s="79">
        <f t="shared" si="31"/>
        <v>0</v>
      </c>
      <c r="L62" s="79">
        <f t="shared" si="32"/>
        <v>0</v>
      </c>
      <c r="M62" s="80">
        <f t="shared" si="33"/>
        <v>0</v>
      </c>
      <c r="N62" s="79">
        <f t="shared" si="34"/>
        <v>0</v>
      </c>
      <c r="O62" s="79">
        <f t="shared" si="35"/>
        <v>0</v>
      </c>
      <c r="P62" s="79">
        <f t="shared" si="36"/>
        <v>0</v>
      </c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38" t="s">
        <v>148</v>
      </c>
      <c r="B63" s="16" t="s">
        <v>139</v>
      </c>
      <c r="C63" s="76">
        <f>1.35*0.95+0.95*0.9+0.4*0.9+1.35*0.9</f>
        <v>3.7125</v>
      </c>
      <c r="D63" s="86">
        <v>400.0</v>
      </c>
      <c r="E63" s="78">
        <f t="shared" si="26"/>
        <v>1485</v>
      </c>
      <c r="F63" s="72"/>
      <c r="G63" s="79">
        <f t="shared" si="27"/>
        <v>0</v>
      </c>
      <c r="H63" s="79">
        <f t="shared" si="28"/>
        <v>0</v>
      </c>
      <c r="I63" s="79">
        <f t="shared" si="29"/>
        <v>0</v>
      </c>
      <c r="J63" s="79">
        <f t="shared" si="30"/>
        <v>0</v>
      </c>
      <c r="K63" s="79">
        <f t="shared" si="31"/>
        <v>0</v>
      </c>
      <c r="L63" s="79">
        <f t="shared" si="32"/>
        <v>0</v>
      </c>
      <c r="M63" s="80">
        <f t="shared" si="33"/>
        <v>1485</v>
      </c>
      <c r="N63" s="79">
        <f t="shared" si="34"/>
        <v>0</v>
      </c>
      <c r="O63" s="79">
        <f t="shared" si="35"/>
        <v>0</v>
      </c>
      <c r="P63" s="79">
        <f t="shared" si="36"/>
        <v>0</v>
      </c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16" t="s">
        <v>149</v>
      </c>
      <c r="B64" s="16" t="s">
        <v>139</v>
      </c>
      <c r="C64" s="76">
        <v>2.0</v>
      </c>
      <c r="D64" s="77">
        <f t="shared" ref="D64:D65" si="37">N11</f>
        <v>130</v>
      </c>
      <c r="E64" s="78">
        <f t="shared" si="26"/>
        <v>260</v>
      </c>
      <c r="F64" s="72"/>
      <c r="G64" s="79">
        <f t="shared" si="27"/>
        <v>0</v>
      </c>
      <c r="H64" s="79">
        <f t="shared" si="28"/>
        <v>0</v>
      </c>
      <c r="I64" s="79">
        <f t="shared" si="29"/>
        <v>0</v>
      </c>
      <c r="J64" s="79">
        <f t="shared" si="30"/>
        <v>0</v>
      </c>
      <c r="K64" s="79">
        <f t="shared" si="31"/>
        <v>0</v>
      </c>
      <c r="L64" s="79">
        <f t="shared" si="32"/>
        <v>0</v>
      </c>
      <c r="M64" s="80">
        <f t="shared" si="33"/>
        <v>260</v>
      </c>
      <c r="N64" s="79">
        <f t="shared" si="34"/>
        <v>0</v>
      </c>
      <c r="O64" s="79">
        <f t="shared" si="35"/>
        <v>0</v>
      </c>
      <c r="P64" s="79">
        <f t="shared" si="36"/>
        <v>0</v>
      </c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82" t="s">
        <v>80</v>
      </c>
      <c r="B65" s="16" t="s">
        <v>139</v>
      </c>
      <c r="C65" s="76">
        <v>4.0</v>
      </c>
      <c r="D65" s="77">
        <f t="shared" si="37"/>
        <v>90</v>
      </c>
      <c r="E65" s="78">
        <f t="shared" si="26"/>
        <v>360</v>
      </c>
      <c r="F65" s="72"/>
      <c r="G65" s="79">
        <f t="shared" si="27"/>
        <v>0</v>
      </c>
      <c r="H65" s="79">
        <f t="shared" si="28"/>
        <v>0</v>
      </c>
      <c r="I65" s="79">
        <f t="shared" si="29"/>
        <v>0</v>
      </c>
      <c r="J65" s="79">
        <f t="shared" si="30"/>
        <v>0</v>
      </c>
      <c r="K65" s="79">
        <f t="shared" si="31"/>
        <v>0</v>
      </c>
      <c r="L65" s="79">
        <f t="shared" si="32"/>
        <v>0</v>
      </c>
      <c r="M65" s="80">
        <f t="shared" si="33"/>
        <v>360</v>
      </c>
      <c r="N65" s="79">
        <f t="shared" si="34"/>
        <v>0</v>
      </c>
      <c r="O65" s="79">
        <f t="shared" si="35"/>
        <v>0</v>
      </c>
      <c r="P65" s="79">
        <f t="shared" si="36"/>
        <v>0</v>
      </c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6" t="s">
        <v>150</v>
      </c>
      <c r="B66" s="16" t="s">
        <v>139</v>
      </c>
      <c r="C66" s="76">
        <f>C64+C65</f>
        <v>6</v>
      </c>
      <c r="D66" s="77">
        <f>N3</f>
        <v>35</v>
      </c>
      <c r="E66" s="78">
        <f t="shared" si="26"/>
        <v>210</v>
      </c>
      <c r="F66" s="72"/>
      <c r="G66" s="79">
        <f t="shared" si="27"/>
        <v>0</v>
      </c>
      <c r="H66" s="79">
        <f t="shared" si="28"/>
        <v>0</v>
      </c>
      <c r="I66" s="79">
        <f t="shared" si="29"/>
        <v>0</v>
      </c>
      <c r="J66" s="79">
        <f t="shared" si="30"/>
        <v>0</v>
      </c>
      <c r="K66" s="79">
        <f t="shared" si="31"/>
        <v>0</v>
      </c>
      <c r="L66" s="79">
        <f t="shared" si="32"/>
        <v>0</v>
      </c>
      <c r="M66" s="80">
        <f t="shared" si="33"/>
        <v>210</v>
      </c>
      <c r="N66" s="79">
        <f t="shared" si="34"/>
        <v>0</v>
      </c>
      <c r="O66" s="79">
        <f t="shared" si="35"/>
        <v>0</v>
      </c>
      <c r="P66" s="79">
        <f t="shared" si="36"/>
        <v>0</v>
      </c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16" t="s">
        <v>103</v>
      </c>
      <c r="B67" s="16" t="s">
        <v>139</v>
      </c>
      <c r="C67" s="76">
        <f>C62</f>
        <v>1.215</v>
      </c>
      <c r="D67" s="77">
        <f>B19</f>
        <v>20</v>
      </c>
      <c r="E67" s="78">
        <f t="shared" si="26"/>
        <v>24.3</v>
      </c>
      <c r="F67" s="72"/>
      <c r="G67" s="79">
        <f t="shared" si="27"/>
        <v>0</v>
      </c>
      <c r="H67" s="79">
        <f t="shared" si="28"/>
        <v>0</v>
      </c>
      <c r="I67" s="79">
        <f t="shared" si="29"/>
        <v>0</v>
      </c>
      <c r="J67" s="79">
        <f t="shared" si="30"/>
        <v>0</v>
      </c>
      <c r="K67" s="79">
        <f t="shared" si="31"/>
        <v>0</v>
      </c>
      <c r="L67" s="79">
        <f t="shared" si="32"/>
        <v>0</v>
      </c>
      <c r="M67" s="80">
        <f t="shared" si="33"/>
        <v>24.3</v>
      </c>
      <c r="N67" s="79">
        <f t="shared" si="34"/>
        <v>0</v>
      </c>
      <c r="O67" s="79">
        <f t="shared" si="35"/>
        <v>0</v>
      </c>
      <c r="P67" s="79">
        <f t="shared" si="36"/>
        <v>0</v>
      </c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16" t="s">
        <v>93</v>
      </c>
      <c r="B68" s="16" t="s">
        <v>139</v>
      </c>
      <c r="C68" s="76">
        <f>C62</f>
        <v>1.215</v>
      </c>
      <c r="D68" s="77">
        <f>B16</f>
        <v>30</v>
      </c>
      <c r="E68" s="78">
        <f t="shared" si="26"/>
        <v>36.45</v>
      </c>
      <c r="F68" s="72"/>
      <c r="G68" s="79">
        <f t="shared" si="27"/>
        <v>0</v>
      </c>
      <c r="H68" s="79">
        <f t="shared" si="28"/>
        <v>0</v>
      </c>
      <c r="I68" s="79">
        <f t="shared" si="29"/>
        <v>0</v>
      </c>
      <c r="J68" s="79">
        <f t="shared" si="30"/>
        <v>0</v>
      </c>
      <c r="K68" s="79">
        <f t="shared" si="31"/>
        <v>0</v>
      </c>
      <c r="L68" s="79">
        <f t="shared" si="32"/>
        <v>0</v>
      </c>
      <c r="M68" s="80">
        <f t="shared" si="33"/>
        <v>36.45</v>
      </c>
      <c r="N68" s="79">
        <f t="shared" si="34"/>
        <v>0</v>
      </c>
      <c r="O68" s="79">
        <f t="shared" si="35"/>
        <v>0</v>
      </c>
      <c r="P68" s="79">
        <f t="shared" si="36"/>
        <v>0</v>
      </c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6"/>
      <c r="B69" s="16" t="s">
        <v>139</v>
      </c>
      <c r="C69" s="76"/>
      <c r="D69" s="77"/>
      <c r="E69" s="78">
        <f t="shared" si="26"/>
        <v>0</v>
      </c>
      <c r="F69" s="72"/>
      <c r="G69" s="79">
        <f t="shared" si="27"/>
        <v>0</v>
      </c>
      <c r="H69" s="79">
        <f t="shared" si="28"/>
        <v>0</v>
      </c>
      <c r="I69" s="79">
        <f t="shared" si="29"/>
        <v>0</v>
      </c>
      <c r="J69" s="79">
        <f t="shared" si="30"/>
        <v>0</v>
      </c>
      <c r="K69" s="79">
        <f t="shared" si="31"/>
        <v>0</v>
      </c>
      <c r="L69" s="79">
        <f t="shared" si="32"/>
        <v>0</v>
      </c>
      <c r="M69" s="80">
        <f t="shared" si="33"/>
        <v>0</v>
      </c>
      <c r="N69" s="79">
        <f t="shared" si="34"/>
        <v>0</v>
      </c>
      <c r="O69" s="79">
        <f t="shared" si="35"/>
        <v>0</v>
      </c>
      <c r="P69" s="79">
        <f t="shared" si="36"/>
        <v>0</v>
      </c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16"/>
      <c r="B70" s="16" t="s">
        <v>143</v>
      </c>
      <c r="C70" s="76"/>
      <c r="D70" s="77"/>
      <c r="E70" s="78">
        <f t="shared" si="26"/>
        <v>0</v>
      </c>
      <c r="F70" s="72"/>
      <c r="G70" s="79">
        <f t="shared" si="27"/>
        <v>0</v>
      </c>
      <c r="H70" s="79">
        <f t="shared" si="28"/>
        <v>0</v>
      </c>
      <c r="I70" s="79">
        <f t="shared" si="29"/>
        <v>0</v>
      </c>
      <c r="J70" s="79">
        <f t="shared" si="30"/>
        <v>0</v>
      </c>
      <c r="K70" s="79">
        <f t="shared" si="31"/>
        <v>0</v>
      </c>
      <c r="L70" s="79">
        <f t="shared" si="32"/>
        <v>0</v>
      </c>
      <c r="M70" s="80">
        <f t="shared" si="33"/>
        <v>0</v>
      </c>
      <c r="N70" s="79">
        <f t="shared" si="34"/>
        <v>0</v>
      </c>
      <c r="O70" s="79">
        <f t="shared" si="35"/>
        <v>0</v>
      </c>
      <c r="P70" s="79">
        <f t="shared" si="36"/>
        <v>0</v>
      </c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16"/>
      <c r="B71" s="16" t="s">
        <v>143</v>
      </c>
      <c r="C71" s="76"/>
      <c r="D71" s="77"/>
      <c r="E71" s="78">
        <f t="shared" si="26"/>
        <v>0</v>
      </c>
      <c r="F71" s="72"/>
      <c r="G71" s="79">
        <f t="shared" si="27"/>
        <v>0</v>
      </c>
      <c r="H71" s="79">
        <f t="shared" si="28"/>
        <v>0</v>
      </c>
      <c r="I71" s="79">
        <f t="shared" si="29"/>
        <v>0</v>
      </c>
      <c r="J71" s="79">
        <f t="shared" si="30"/>
        <v>0</v>
      </c>
      <c r="K71" s="79">
        <f t="shared" si="31"/>
        <v>0</v>
      </c>
      <c r="L71" s="79">
        <f t="shared" si="32"/>
        <v>0</v>
      </c>
      <c r="M71" s="80">
        <f t="shared" si="33"/>
        <v>0</v>
      </c>
      <c r="N71" s="79">
        <f t="shared" si="34"/>
        <v>0</v>
      </c>
      <c r="O71" s="79">
        <f t="shared" si="35"/>
        <v>0</v>
      </c>
      <c r="P71" s="79">
        <f t="shared" si="36"/>
        <v>0</v>
      </c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6"/>
      <c r="B72" s="16" t="s">
        <v>143</v>
      </c>
      <c r="C72" s="76"/>
      <c r="D72" s="77"/>
      <c r="E72" s="78">
        <f t="shared" si="26"/>
        <v>0</v>
      </c>
      <c r="F72" s="72"/>
      <c r="G72" s="79">
        <f t="shared" si="27"/>
        <v>0</v>
      </c>
      <c r="H72" s="79">
        <f t="shared" si="28"/>
        <v>0</v>
      </c>
      <c r="I72" s="79">
        <f t="shared" si="29"/>
        <v>0</v>
      </c>
      <c r="J72" s="79">
        <f t="shared" si="30"/>
        <v>0</v>
      </c>
      <c r="K72" s="79">
        <f t="shared" si="31"/>
        <v>0</v>
      </c>
      <c r="L72" s="79">
        <f t="shared" si="32"/>
        <v>0</v>
      </c>
      <c r="M72" s="80">
        <f t="shared" si="33"/>
        <v>0</v>
      </c>
      <c r="N72" s="79">
        <f t="shared" si="34"/>
        <v>0</v>
      </c>
      <c r="O72" s="79">
        <f t="shared" si="35"/>
        <v>0</v>
      </c>
      <c r="P72" s="79">
        <f t="shared" si="36"/>
        <v>0</v>
      </c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6"/>
      <c r="B73" s="16" t="s">
        <v>143</v>
      </c>
      <c r="C73" s="76"/>
      <c r="D73" s="77"/>
      <c r="E73" s="78">
        <f t="shared" si="26"/>
        <v>0</v>
      </c>
      <c r="F73" s="72"/>
      <c r="G73" s="79">
        <f t="shared" si="27"/>
        <v>0</v>
      </c>
      <c r="H73" s="79">
        <f t="shared" si="28"/>
        <v>0</v>
      </c>
      <c r="I73" s="79">
        <f t="shared" si="29"/>
        <v>0</v>
      </c>
      <c r="J73" s="79">
        <f t="shared" si="30"/>
        <v>0</v>
      </c>
      <c r="K73" s="79">
        <f t="shared" si="31"/>
        <v>0</v>
      </c>
      <c r="L73" s="79">
        <f t="shared" si="32"/>
        <v>0</v>
      </c>
      <c r="M73" s="80">
        <f t="shared" si="33"/>
        <v>0</v>
      </c>
      <c r="N73" s="79">
        <f t="shared" si="34"/>
        <v>0</v>
      </c>
      <c r="O73" s="79">
        <f t="shared" si="35"/>
        <v>0</v>
      </c>
      <c r="P73" s="79">
        <f t="shared" si="36"/>
        <v>0</v>
      </c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62"/>
      <c r="B74" s="16"/>
      <c r="C74" s="62"/>
      <c r="D74" s="16"/>
      <c r="E74" s="16"/>
      <c r="F74" s="72"/>
      <c r="G74" s="73">
        <f t="shared" ref="G74:P74" si="38">SUM(G59:G73)</f>
        <v>0</v>
      </c>
      <c r="H74" s="73">
        <f t="shared" si="38"/>
        <v>429.5025</v>
      </c>
      <c r="I74" s="73">
        <f t="shared" si="38"/>
        <v>0</v>
      </c>
      <c r="J74" s="73">
        <f t="shared" si="38"/>
        <v>124.8291</v>
      </c>
      <c r="K74" s="73">
        <f t="shared" si="38"/>
        <v>0</v>
      </c>
      <c r="L74" s="73">
        <f t="shared" si="38"/>
        <v>0</v>
      </c>
      <c r="M74" s="73">
        <f t="shared" si="38"/>
        <v>2375.75</v>
      </c>
      <c r="N74" s="73">
        <f t="shared" si="38"/>
        <v>0</v>
      </c>
      <c r="O74" s="73">
        <f t="shared" si="38"/>
        <v>0</v>
      </c>
      <c r="P74" s="73">
        <f t="shared" si="38"/>
        <v>0</v>
      </c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6"/>
      <c r="B75" s="16"/>
      <c r="C75" s="16"/>
      <c r="D75" s="16"/>
      <c r="E75" s="16"/>
      <c r="F75" s="16"/>
      <c r="G75" s="16"/>
      <c r="H75" s="87"/>
      <c r="I75" s="16"/>
      <c r="J75" s="16"/>
      <c r="K75" s="88"/>
      <c r="L75" s="88"/>
      <c r="M75" s="89"/>
      <c r="N75" s="87"/>
      <c r="O75" s="87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16"/>
      <c r="B76" s="16"/>
      <c r="C76" s="16"/>
      <c r="D76" s="16"/>
      <c r="E76" s="16"/>
      <c r="F76" s="16"/>
      <c r="G76" s="16"/>
      <c r="H76" s="87"/>
      <c r="I76" s="16"/>
      <c r="J76" s="16"/>
      <c r="K76" s="88"/>
      <c r="L76" s="88"/>
      <c r="M76" s="89"/>
      <c r="N76" s="87"/>
      <c r="O76" s="87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62" t="s">
        <v>151</v>
      </c>
      <c r="B77" s="16"/>
      <c r="C77" s="76"/>
      <c r="D77" s="77"/>
      <c r="E77" s="78">
        <f t="shared" ref="E77:E101" si="39">C77*D77</f>
        <v>0</v>
      </c>
      <c r="F77" s="72">
        <f>SUM(G78:M101)*$F$25</f>
        <v>10095.64101</v>
      </c>
      <c r="G77" s="79">
        <f t="shared" ref="G77:G101" si="40">IF(B77="metalas",E77*$G$26,0)</f>
        <v>0</v>
      </c>
      <c r="H77" s="79">
        <f t="shared" ref="H77:H101" si="41">IF(B77="LMDP",E77*$H$26,0)</f>
        <v>0</v>
      </c>
      <c r="I77" s="79">
        <f t="shared" ref="I77:I101" si="42">IF(B77="paslauga",E77*$I$26,0)</f>
        <v>0</v>
      </c>
      <c r="J77" s="79">
        <f t="shared" ref="J77:J101" si="43">IF(B77="masyvas",E77*$J$26,0)</f>
        <v>0</v>
      </c>
      <c r="K77" s="79">
        <f t="shared" ref="K77:K101" si="44">IF(B77="furnitura",E77*$K$26,0)</f>
        <v>0</v>
      </c>
      <c r="L77" s="79">
        <f t="shared" ref="L77:L101" si="45">IF(B77="stiklas",E77*$L$26,0)</f>
        <v>0</v>
      </c>
      <c r="M77" s="80">
        <f t="shared" ref="M77:M101" si="46">IF(B77="be kofo",E77*$M$26,0)</f>
        <v>0</v>
      </c>
      <c r="N77" s="79">
        <f t="shared" ref="N77:N101" si="47">IF(G77="paslauga",J77*$I$26,0)</f>
        <v>0</v>
      </c>
      <c r="O77" s="79">
        <f t="shared" ref="O77:O101" si="48">IF(G77="masyvas",J77*$J$26,0)</f>
        <v>0</v>
      </c>
      <c r="P77" s="79">
        <f t="shared" ref="P77:P101" si="49">IF(G77="furnitura",J77*$K$26,0)</f>
        <v>0</v>
      </c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16" t="s">
        <v>132</v>
      </c>
      <c r="B78" s="16" t="s">
        <v>121</v>
      </c>
      <c r="C78" s="76">
        <f>C79+C80+C81+C82+C83</f>
        <v>39.863</v>
      </c>
      <c r="D78" s="81">
        <f>N2</f>
        <v>15</v>
      </c>
      <c r="E78" s="78">
        <f t="shared" si="39"/>
        <v>597.945</v>
      </c>
      <c r="F78" s="72"/>
      <c r="G78" s="79">
        <f t="shared" si="40"/>
        <v>0</v>
      </c>
      <c r="H78" s="79">
        <f t="shared" si="41"/>
        <v>1793.835</v>
      </c>
      <c r="I78" s="79">
        <f t="shared" si="42"/>
        <v>0</v>
      </c>
      <c r="J78" s="79">
        <f t="shared" si="43"/>
        <v>0</v>
      </c>
      <c r="K78" s="79">
        <f t="shared" si="44"/>
        <v>0</v>
      </c>
      <c r="L78" s="79">
        <f t="shared" si="45"/>
        <v>0</v>
      </c>
      <c r="M78" s="80">
        <f t="shared" si="46"/>
        <v>0</v>
      </c>
      <c r="N78" s="79">
        <f t="shared" si="47"/>
        <v>0</v>
      </c>
      <c r="O78" s="79">
        <f t="shared" si="48"/>
        <v>0</v>
      </c>
      <c r="P78" s="79">
        <f t="shared" si="49"/>
        <v>0</v>
      </c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16" t="s">
        <v>152</v>
      </c>
      <c r="B79" s="16" t="s">
        <v>134</v>
      </c>
      <c r="C79" s="76">
        <f>2.8*0.6*5+1.53*0.6*3+0.6*0.6*3+0.6*0.6*5+2.8*1.53+1.9*0.6+2.95*0.6*2+0.9*0.6*5+2.35*0.85</f>
        <v>27.6955</v>
      </c>
      <c r="D79" s="77">
        <f>J7</f>
        <v>18</v>
      </c>
      <c r="E79" s="78">
        <f t="shared" si="39"/>
        <v>498.519</v>
      </c>
      <c r="F79" s="72"/>
      <c r="G79" s="79">
        <f t="shared" si="40"/>
        <v>0</v>
      </c>
      <c r="H79" s="79">
        <f t="shared" si="41"/>
        <v>0</v>
      </c>
      <c r="I79" s="79">
        <f t="shared" si="42"/>
        <v>0</v>
      </c>
      <c r="J79" s="79">
        <f t="shared" si="43"/>
        <v>548.3709</v>
      </c>
      <c r="K79" s="79">
        <f t="shared" si="44"/>
        <v>0</v>
      </c>
      <c r="L79" s="79">
        <f t="shared" si="45"/>
        <v>0</v>
      </c>
      <c r="M79" s="80">
        <f t="shared" si="46"/>
        <v>0</v>
      </c>
      <c r="N79" s="79">
        <f t="shared" si="47"/>
        <v>0</v>
      </c>
      <c r="O79" s="79">
        <f t="shared" si="48"/>
        <v>0</v>
      </c>
      <c r="P79" s="79">
        <f t="shared" si="49"/>
        <v>0</v>
      </c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16" t="s">
        <v>135</v>
      </c>
      <c r="B80" s="16" t="s">
        <v>134</v>
      </c>
      <c r="C80" s="76">
        <f>2.8*1.53+1.9*0.6+2.35*0.85+0.6*0.6*2</f>
        <v>8.1415</v>
      </c>
      <c r="D80" s="77">
        <f>J11</f>
        <v>25</v>
      </c>
      <c r="E80" s="78">
        <f t="shared" si="39"/>
        <v>203.5375</v>
      </c>
      <c r="F80" s="72"/>
      <c r="G80" s="79">
        <f t="shared" si="40"/>
        <v>0</v>
      </c>
      <c r="H80" s="79">
        <f t="shared" si="41"/>
        <v>0</v>
      </c>
      <c r="I80" s="79">
        <f t="shared" si="42"/>
        <v>0</v>
      </c>
      <c r="J80" s="79">
        <f t="shared" si="43"/>
        <v>223.89125</v>
      </c>
      <c r="K80" s="79">
        <f t="shared" si="44"/>
        <v>0</v>
      </c>
      <c r="L80" s="79">
        <f t="shared" si="45"/>
        <v>0</v>
      </c>
      <c r="M80" s="80">
        <f t="shared" si="46"/>
        <v>0</v>
      </c>
      <c r="N80" s="79">
        <f t="shared" si="47"/>
        <v>0</v>
      </c>
      <c r="O80" s="79">
        <f t="shared" si="48"/>
        <v>0</v>
      </c>
      <c r="P80" s="79">
        <f t="shared" si="49"/>
        <v>0</v>
      </c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90" t="s">
        <v>153</v>
      </c>
      <c r="B81" s="16" t="s">
        <v>134</v>
      </c>
      <c r="C81" s="76">
        <f>2.35*0.6</f>
        <v>1.41</v>
      </c>
      <c r="D81" s="77"/>
      <c r="E81" s="78">
        <f t="shared" si="39"/>
        <v>0</v>
      </c>
      <c r="F81" s="72"/>
      <c r="G81" s="79">
        <f t="shared" si="40"/>
        <v>0</v>
      </c>
      <c r="H81" s="79">
        <f t="shared" si="41"/>
        <v>0</v>
      </c>
      <c r="I81" s="79">
        <f t="shared" si="42"/>
        <v>0</v>
      </c>
      <c r="J81" s="79">
        <f t="shared" si="43"/>
        <v>0</v>
      </c>
      <c r="K81" s="79">
        <f t="shared" si="44"/>
        <v>0</v>
      </c>
      <c r="L81" s="79">
        <f t="shared" si="45"/>
        <v>0</v>
      </c>
      <c r="M81" s="80">
        <f t="shared" si="46"/>
        <v>0</v>
      </c>
      <c r="N81" s="79">
        <f t="shared" si="47"/>
        <v>0</v>
      </c>
      <c r="O81" s="79">
        <f t="shared" si="48"/>
        <v>0</v>
      </c>
      <c r="P81" s="79">
        <f t="shared" si="49"/>
        <v>0</v>
      </c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90" t="s">
        <v>154</v>
      </c>
      <c r="B82" s="16" t="s">
        <v>134</v>
      </c>
      <c r="C82" s="76">
        <f>2.95*0.6</f>
        <v>1.77</v>
      </c>
      <c r="D82" s="77"/>
      <c r="E82" s="78">
        <f t="shared" si="39"/>
        <v>0</v>
      </c>
      <c r="F82" s="72"/>
      <c r="G82" s="79">
        <f t="shared" si="40"/>
        <v>0</v>
      </c>
      <c r="H82" s="79">
        <f t="shared" si="41"/>
        <v>0</v>
      </c>
      <c r="I82" s="79">
        <f t="shared" si="42"/>
        <v>0</v>
      </c>
      <c r="J82" s="79">
        <f t="shared" si="43"/>
        <v>0</v>
      </c>
      <c r="K82" s="79">
        <f t="shared" si="44"/>
        <v>0</v>
      </c>
      <c r="L82" s="79">
        <f t="shared" si="45"/>
        <v>0</v>
      </c>
      <c r="M82" s="80">
        <f t="shared" si="46"/>
        <v>0</v>
      </c>
      <c r="N82" s="79">
        <f t="shared" si="47"/>
        <v>0</v>
      </c>
      <c r="O82" s="79">
        <f t="shared" si="48"/>
        <v>0</v>
      </c>
      <c r="P82" s="79">
        <f t="shared" si="49"/>
        <v>0</v>
      </c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90" t="s">
        <v>155</v>
      </c>
      <c r="B83" s="16" t="s">
        <v>134</v>
      </c>
      <c r="C83" s="76">
        <f>2.35*0.36</f>
        <v>0.846</v>
      </c>
      <c r="D83" s="77"/>
      <c r="E83" s="78">
        <f t="shared" si="39"/>
        <v>0</v>
      </c>
      <c r="F83" s="72"/>
      <c r="G83" s="79">
        <f t="shared" si="40"/>
        <v>0</v>
      </c>
      <c r="H83" s="79">
        <f t="shared" si="41"/>
        <v>0</v>
      </c>
      <c r="I83" s="79">
        <f t="shared" si="42"/>
        <v>0</v>
      </c>
      <c r="J83" s="79">
        <f t="shared" si="43"/>
        <v>0</v>
      </c>
      <c r="K83" s="79">
        <f t="shared" si="44"/>
        <v>0</v>
      </c>
      <c r="L83" s="79">
        <f t="shared" si="45"/>
        <v>0</v>
      </c>
      <c r="M83" s="80">
        <f t="shared" si="46"/>
        <v>0</v>
      </c>
      <c r="N83" s="79">
        <f t="shared" si="47"/>
        <v>0</v>
      </c>
      <c r="O83" s="79">
        <f t="shared" si="48"/>
        <v>0</v>
      </c>
      <c r="P83" s="79">
        <f t="shared" si="49"/>
        <v>0</v>
      </c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 t="s">
        <v>156</v>
      </c>
      <c r="B84" s="16" t="s">
        <v>139</v>
      </c>
      <c r="C84" s="76">
        <v>2.0</v>
      </c>
      <c r="D84" s="77">
        <f t="shared" ref="D84:D85" si="50">N11</f>
        <v>130</v>
      </c>
      <c r="E84" s="78">
        <f t="shared" si="39"/>
        <v>260</v>
      </c>
      <c r="F84" s="72"/>
      <c r="G84" s="79">
        <f t="shared" si="40"/>
        <v>0</v>
      </c>
      <c r="H84" s="79">
        <f t="shared" si="41"/>
        <v>0</v>
      </c>
      <c r="I84" s="79">
        <f t="shared" si="42"/>
        <v>0</v>
      </c>
      <c r="J84" s="79">
        <f t="shared" si="43"/>
        <v>0</v>
      </c>
      <c r="K84" s="79">
        <f t="shared" si="44"/>
        <v>0</v>
      </c>
      <c r="L84" s="79">
        <f t="shared" si="45"/>
        <v>0</v>
      </c>
      <c r="M84" s="80">
        <f t="shared" si="46"/>
        <v>260</v>
      </c>
      <c r="N84" s="79">
        <f t="shared" si="47"/>
        <v>0</v>
      </c>
      <c r="O84" s="79">
        <f t="shared" si="48"/>
        <v>0</v>
      </c>
      <c r="P84" s="79">
        <f t="shared" si="49"/>
        <v>0</v>
      </c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 t="s">
        <v>157</v>
      </c>
      <c r="B85" s="16" t="s">
        <v>139</v>
      </c>
      <c r="C85" s="76">
        <v>4.0</v>
      </c>
      <c r="D85" s="77">
        <f t="shared" si="50"/>
        <v>90</v>
      </c>
      <c r="E85" s="78">
        <f t="shared" si="39"/>
        <v>360</v>
      </c>
      <c r="F85" s="72"/>
      <c r="G85" s="79">
        <f t="shared" si="40"/>
        <v>0</v>
      </c>
      <c r="H85" s="79">
        <f t="shared" si="41"/>
        <v>0</v>
      </c>
      <c r="I85" s="79">
        <f t="shared" si="42"/>
        <v>0</v>
      </c>
      <c r="J85" s="79">
        <f t="shared" si="43"/>
        <v>0</v>
      </c>
      <c r="K85" s="79">
        <f t="shared" si="44"/>
        <v>0</v>
      </c>
      <c r="L85" s="79">
        <f t="shared" si="45"/>
        <v>0</v>
      </c>
      <c r="M85" s="80">
        <f t="shared" si="46"/>
        <v>360</v>
      </c>
      <c r="N85" s="79">
        <f t="shared" si="47"/>
        <v>0</v>
      </c>
      <c r="O85" s="79">
        <f t="shared" si="48"/>
        <v>0</v>
      </c>
      <c r="P85" s="79">
        <f t="shared" si="49"/>
        <v>0</v>
      </c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 t="s">
        <v>158</v>
      </c>
      <c r="B86" s="16" t="s">
        <v>137</v>
      </c>
      <c r="C86" s="76">
        <v>1.0</v>
      </c>
      <c r="D86" s="77">
        <f>J14</f>
        <v>500</v>
      </c>
      <c r="E86" s="78">
        <f t="shared" si="39"/>
        <v>500</v>
      </c>
      <c r="F86" s="72"/>
      <c r="G86" s="79">
        <f t="shared" si="40"/>
        <v>0</v>
      </c>
      <c r="H86" s="79">
        <f t="shared" si="41"/>
        <v>0</v>
      </c>
      <c r="I86" s="79">
        <f t="shared" si="42"/>
        <v>0</v>
      </c>
      <c r="J86" s="79">
        <f t="shared" si="43"/>
        <v>0</v>
      </c>
      <c r="K86" s="79">
        <f t="shared" si="44"/>
        <v>1000</v>
      </c>
      <c r="L86" s="79">
        <f t="shared" si="45"/>
        <v>0</v>
      </c>
      <c r="M86" s="80">
        <f t="shared" si="46"/>
        <v>0</v>
      </c>
      <c r="N86" s="79">
        <f t="shared" si="47"/>
        <v>0</v>
      </c>
      <c r="O86" s="79">
        <f t="shared" si="48"/>
        <v>0</v>
      </c>
      <c r="P86" s="79">
        <f t="shared" si="49"/>
        <v>0</v>
      </c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 t="s">
        <v>150</v>
      </c>
      <c r="B87" s="16" t="s">
        <v>139</v>
      </c>
      <c r="C87" s="76">
        <f>C84+C85+C86</f>
        <v>7</v>
      </c>
      <c r="D87" s="77">
        <f>N3</f>
        <v>35</v>
      </c>
      <c r="E87" s="78">
        <f t="shared" si="39"/>
        <v>245</v>
      </c>
      <c r="F87" s="72"/>
      <c r="G87" s="79">
        <f t="shared" si="40"/>
        <v>0</v>
      </c>
      <c r="H87" s="79">
        <f t="shared" si="41"/>
        <v>0</v>
      </c>
      <c r="I87" s="79">
        <f t="shared" si="42"/>
        <v>0</v>
      </c>
      <c r="J87" s="79">
        <f t="shared" si="43"/>
        <v>0</v>
      </c>
      <c r="K87" s="79">
        <f t="shared" si="44"/>
        <v>0</v>
      </c>
      <c r="L87" s="79">
        <f t="shared" si="45"/>
        <v>0</v>
      </c>
      <c r="M87" s="80">
        <f t="shared" si="46"/>
        <v>245</v>
      </c>
      <c r="N87" s="79">
        <f t="shared" si="47"/>
        <v>0</v>
      </c>
      <c r="O87" s="79">
        <f t="shared" si="48"/>
        <v>0</v>
      </c>
      <c r="P87" s="79">
        <f t="shared" si="49"/>
        <v>0</v>
      </c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 t="s">
        <v>136</v>
      </c>
      <c r="B88" s="16" t="s">
        <v>137</v>
      </c>
      <c r="C88" s="76">
        <v>15.0</v>
      </c>
      <c r="D88" s="77">
        <f t="shared" ref="D88:D90" si="51">J8</f>
        <v>6</v>
      </c>
      <c r="E88" s="78">
        <f t="shared" si="39"/>
        <v>90</v>
      </c>
      <c r="F88" s="72"/>
      <c r="G88" s="79">
        <f t="shared" si="40"/>
        <v>0</v>
      </c>
      <c r="H88" s="79">
        <f t="shared" si="41"/>
        <v>0</v>
      </c>
      <c r="I88" s="79">
        <f t="shared" si="42"/>
        <v>0</v>
      </c>
      <c r="J88" s="79">
        <f t="shared" si="43"/>
        <v>0</v>
      </c>
      <c r="K88" s="79">
        <f t="shared" si="44"/>
        <v>180</v>
      </c>
      <c r="L88" s="79">
        <f t="shared" si="45"/>
        <v>0</v>
      </c>
      <c r="M88" s="80">
        <f t="shared" si="46"/>
        <v>0</v>
      </c>
      <c r="N88" s="79">
        <f t="shared" si="47"/>
        <v>0</v>
      </c>
      <c r="O88" s="79">
        <f t="shared" si="48"/>
        <v>0</v>
      </c>
      <c r="P88" s="79">
        <f t="shared" si="49"/>
        <v>0</v>
      </c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 t="s">
        <v>159</v>
      </c>
      <c r="B89" s="16" t="s">
        <v>137</v>
      </c>
      <c r="C89" s="76">
        <v>5.0</v>
      </c>
      <c r="D89" s="77">
        <f t="shared" si="51"/>
        <v>6</v>
      </c>
      <c r="E89" s="78">
        <f t="shared" si="39"/>
        <v>30</v>
      </c>
      <c r="F89" s="72"/>
      <c r="G89" s="79">
        <f t="shared" si="40"/>
        <v>0</v>
      </c>
      <c r="H89" s="79">
        <f t="shared" si="41"/>
        <v>0</v>
      </c>
      <c r="I89" s="79">
        <f t="shared" si="42"/>
        <v>0</v>
      </c>
      <c r="J89" s="79">
        <f t="shared" si="43"/>
        <v>0</v>
      </c>
      <c r="K89" s="79">
        <f t="shared" si="44"/>
        <v>60</v>
      </c>
      <c r="L89" s="79">
        <f t="shared" si="45"/>
        <v>0</v>
      </c>
      <c r="M89" s="80">
        <f t="shared" si="46"/>
        <v>0</v>
      </c>
      <c r="N89" s="79">
        <f t="shared" si="47"/>
        <v>0</v>
      </c>
      <c r="O89" s="79">
        <f t="shared" si="48"/>
        <v>0</v>
      </c>
      <c r="P89" s="79">
        <f t="shared" si="49"/>
        <v>0</v>
      </c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 t="s">
        <v>160</v>
      </c>
      <c r="B90" s="16" t="s">
        <v>137</v>
      </c>
      <c r="C90" s="76">
        <v>2.0</v>
      </c>
      <c r="D90" s="77">
        <f t="shared" si="51"/>
        <v>25</v>
      </c>
      <c r="E90" s="78">
        <f t="shared" si="39"/>
        <v>50</v>
      </c>
      <c r="F90" s="72"/>
      <c r="G90" s="79">
        <f t="shared" si="40"/>
        <v>0</v>
      </c>
      <c r="H90" s="79">
        <f t="shared" si="41"/>
        <v>0</v>
      </c>
      <c r="I90" s="79">
        <f t="shared" si="42"/>
        <v>0</v>
      </c>
      <c r="J90" s="79">
        <f t="shared" si="43"/>
        <v>0</v>
      </c>
      <c r="K90" s="79">
        <f t="shared" si="44"/>
        <v>100</v>
      </c>
      <c r="L90" s="79">
        <f t="shared" si="45"/>
        <v>0</v>
      </c>
      <c r="M90" s="80">
        <f t="shared" si="46"/>
        <v>0</v>
      </c>
      <c r="N90" s="79">
        <f t="shared" si="47"/>
        <v>0</v>
      </c>
      <c r="O90" s="79">
        <f t="shared" si="48"/>
        <v>0</v>
      </c>
      <c r="P90" s="79">
        <f t="shared" si="49"/>
        <v>0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 t="s">
        <v>161</v>
      </c>
      <c r="B91" s="16" t="s">
        <v>137</v>
      </c>
      <c r="C91" s="76">
        <f>2.35</f>
        <v>2.35</v>
      </c>
      <c r="D91" s="77">
        <f>J13</f>
        <v>25</v>
      </c>
      <c r="E91" s="78">
        <f t="shared" si="39"/>
        <v>58.75</v>
      </c>
      <c r="F91" s="72"/>
      <c r="G91" s="79">
        <f t="shared" si="40"/>
        <v>0</v>
      </c>
      <c r="H91" s="79">
        <f t="shared" si="41"/>
        <v>0</v>
      </c>
      <c r="I91" s="79">
        <f t="shared" si="42"/>
        <v>0</v>
      </c>
      <c r="J91" s="79">
        <f t="shared" si="43"/>
        <v>0</v>
      </c>
      <c r="K91" s="79">
        <f t="shared" si="44"/>
        <v>117.5</v>
      </c>
      <c r="L91" s="79">
        <f t="shared" si="45"/>
        <v>0</v>
      </c>
      <c r="M91" s="80">
        <f t="shared" si="46"/>
        <v>0</v>
      </c>
      <c r="N91" s="79">
        <f t="shared" si="47"/>
        <v>0</v>
      </c>
      <c r="O91" s="79">
        <f t="shared" si="48"/>
        <v>0</v>
      </c>
      <c r="P91" s="79">
        <f t="shared" si="49"/>
        <v>0</v>
      </c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 t="s">
        <v>59</v>
      </c>
      <c r="B92" s="16" t="s">
        <v>139</v>
      </c>
      <c r="C92" s="76">
        <f>C88+C89+C90+4</f>
        <v>26</v>
      </c>
      <c r="D92" s="77">
        <f>N7</f>
        <v>3</v>
      </c>
      <c r="E92" s="78">
        <f t="shared" si="39"/>
        <v>78</v>
      </c>
      <c r="F92" s="72"/>
      <c r="G92" s="79">
        <f t="shared" si="40"/>
        <v>0</v>
      </c>
      <c r="H92" s="79">
        <f t="shared" si="41"/>
        <v>0</v>
      </c>
      <c r="I92" s="79">
        <f t="shared" si="42"/>
        <v>0</v>
      </c>
      <c r="J92" s="79">
        <f t="shared" si="43"/>
        <v>0</v>
      </c>
      <c r="K92" s="79">
        <f t="shared" si="44"/>
        <v>0</v>
      </c>
      <c r="L92" s="79">
        <f t="shared" si="45"/>
        <v>0</v>
      </c>
      <c r="M92" s="80">
        <f t="shared" si="46"/>
        <v>78</v>
      </c>
      <c r="N92" s="79">
        <f t="shared" si="47"/>
        <v>0</v>
      </c>
      <c r="O92" s="79">
        <f t="shared" si="48"/>
        <v>0</v>
      </c>
      <c r="P92" s="79">
        <f t="shared" si="49"/>
        <v>0</v>
      </c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 t="s">
        <v>162</v>
      </c>
      <c r="B93" s="16" t="s">
        <v>137</v>
      </c>
      <c r="C93" s="76">
        <v>1.0</v>
      </c>
      <c r="D93" s="77">
        <f t="shared" ref="D93:D94" si="52">N15</f>
        <v>750</v>
      </c>
      <c r="E93" s="78">
        <f t="shared" si="39"/>
        <v>750</v>
      </c>
      <c r="F93" s="72"/>
      <c r="G93" s="79">
        <f t="shared" si="40"/>
        <v>0</v>
      </c>
      <c r="H93" s="79">
        <f t="shared" si="41"/>
        <v>0</v>
      </c>
      <c r="I93" s="79">
        <f t="shared" si="42"/>
        <v>0</v>
      </c>
      <c r="J93" s="79">
        <f t="shared" si="43"/>
        <v>0</v>
      </c>
      <c r="K93" s="79">
        <f t="shared" si="44"/>
        <v>1500</v>
      </c>
      <c r="L93" s="79">
        <f t="shared" si="45"/>
        <v>0</v>
      </c>
      <c r="M93" s="80">
        <f t="shared" si="46"/>
        <v>0</v>
      </c>
      <c r="N93" s="79">
        <f t="shared" si="47"/>
        <v>0</v>
      </c>
      <c r="O93" s="79">
        <f t="shared" si="48"/>
        <v>0</v>
      </c>
      <c r="P93" s="79">
        <f t="shared" si="49"/>
        <v>0</v>
      </c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 t="s">
        <v>163</v>
      </c>
      <c r="B94" s="16" t="s">
        <v>139</v>
      </c>
      <c r="C94" s="76">
        <v>1.0</v>
      </c>
      <c r="D94" s="77">
        <f t="shared" si="52"/>
        <v>50</v>
      </c>
      <c r="E94" s="78">
        <f t="shared" si="39"/>
        <v>50</v>
      </c>
      <c r="F94" s="72"/>
      <c r="G94" s="79">
        <f t="shared" si="40"/>
        <v>0</v>
      </c>
      <c r="H94" s="79">
        <f t="shared" si="41"/>
        <v>0</v>
      </c>
      <c r="I94" s="79">
        <f t="shared" si="42"/>
        <v>0</v>
      </c>
      <c r="J94" s="79">
        <f t="shared" si="43"/>
        <v>0</v>
      </c>
      <c r="K94" s="79">
        <f t="shared" si="44"/>
        <v>0</v>
      </c>
      <c r="L94" s="79">
        <f t="shared" si="45"/>
        <v>0</v>
      </c>
      <c r="M94" s="80">
        <f t="shared" si="46"/>
        <v>50</v>
      </c>
      <c r="N94" s="79">
        <f t="shared" si="47"/>
        <v>0</v>
      </c>
      <c r="O94" s="79">
        <f t="shared" si="48"/>
        <v>0</v>
      </c>
      <c r="P94" s="79">
        <f t="shared" si="49"/>
        <v>0</v>
      </c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 t="s">
        <v>114</v>
      </c>
      <c r="B95" s="16" t="s">
        <v>139</v>
      </c>
      <c r="C95" s="76">
        <f>2.95</f>
        <v>2.95</v>
      </c>
      <c r="D95" s="77">
        <f>B23</f>
        <v>50</v>
      </c>
      <c r="E95" s="78">
        <f t="shared" si="39"/>
        <v>147.5</v>
      </c>
      <c r="F95" s="72"/>
      <c r="G95" s="79">
        <f t="shared" si="40"/>
        <v>0</v>
      </c>
      <c r="H95" s="79">
        <f t="shared" si="41"/>
        <v>0</v>
      </c>
      <c r="I95" s="79">
        <f t="shared" si="42"/>
        <v>0</v>
      </c>
      <c r="J95" s="79">
        <f t="shared" si="43"/>
        <v>0</v>
      </c>
      <c r="K95" s="79">
        <f t="shared" si="44"/>
        <v>0</v>
      </c>
      <c r="L95" s="79">
        <f t="shared" si="45"/>
        <v>0</v>
      </c>
      <c r="M95" s="80">
        <f t="shared" si="46"/>
        <v>147.5</v>
      </c>
      <c r="N95" s="79">
        <f t="shared" si="47"/>
        <v>0</v>
      </c>
      <c r="O95" s="79">
        <f t="shared" si="48"/>
        <v>0</v>
      </c>
      <c r="P95" s="79">
        <f t="shared" si="49"/>
        <v>0</v>
      </c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 t="s">
        <v>164</v>
      </c>
      <c r="B96" s="16" t="s">
        <v>137</v>
      </c>
      <c r="C96" s="76">
        <v>1.0</v>
      </c>
      <c r="D96" s="77">
        <f>N9</f>
        <v>70</v>
      </c>
      <c r="E96" s="78">
        <f t="shared" si="39"/>
        <v>70</v>
      </c>
      <c r="F96" s="72"/>
      <c r="G96" s="79">
        <f t="shared" si="40"/>
        <v>0</v>
      </c>
      <c r="H96" s="79">
        <f t="shared" si="41"/>
        <v>0</v>
      </c>
      <c r="I96" s="79">
        <f t="shared" si="42"/>
        <v>0</v>
      </c>
      <c r="J96" s="79">
        <f t="shared" si="43"/>
        <v>0</v>
      </c>
      <c r="K96" s="79">
        <f t="shared" si="44"/>
        <v>140</v>
      </c>
      <c r="L96" s="79">
        <f t="shared" si="45"/>
        <v>0</v>
      </c>
      <c r="M96" s="80">
        <f t="shared" si="46"/>
        <v>0</v>
      </c>
      <c r="N96" s="79">
        <f t="shared" si="47"/>
        <v>0</v>
      </c>
      <c r="O96" s="79">
        <f t="shared" si="48"/>
        <v>0</v>
      </c>
      <c r="P96" s="79">
        <f t="shared" si="49"/>
        <v>0</v>
      </c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 t="s">
        <v>103</v>
      </c>
      <c r="B97" s="16" t="s">
        <v>139</v>
      </c>
      <c r="C97" s="76">
        <f>C80</f>
        <v>8.1415</v>
      </c>
      <c r="D97" s="77">
        <f>B19</f>
        <v>20</v>
      </c>
      <c r="E97" s="78">
        <f t="shared" si="39"/>
        <v>162.83</v>
      </c>
      <c r="F97" s="72"/>
      <c r="G97" s="79">
        <f t="shared" si="40"/>
        <v>0</v>
      </c>
      <c r="H97" s="79">
        <f t="shared" si="41"/>
        <v>0</v>
      </c>
      <c r="I97" s="79">
        <f t="shared" si="42"/>
        <v>0</v>
      </c>
      <c r="J97" s="79">
        <f t="shared" si="43"/>
        <v>0</v>
      </c>
      <c r="K97" s="79">
        <f t="shared" si="44"/>
        <v>0</v>
      </c>
      <c r="L97" s="79">
        <f t="shared" si="45"/>
        <v>0</v>
      </c>
      <c r="M97" s="80">
        <f t="shared" si="46"/>
        <v>162.83</v>
      </c>
      <c r="N97" s="79">
        <f t="shared" si="47"/>
        <v>0</v>
      </c>
      <c r="O97" s="79">
        <f t="shared" si="48"/>
        <v>0</v>
      </c>
      <c r="P97" s="79">
        <f t="shared" si="49"/>
        <v>0</v>
      </c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 t="s">
        <v>93</v>
      </c>
      <c r="B98" s="16" t="s">
        <v>139</v>
      </c>
      <c r="C98" s="76">
        <f>C97</f>
        <v>8.1415</v>
      </c>
      <c r="D98" s="77">
        <f>B16</f>
        <v>30</v>
      </c>
      <c r="E98" s="78">
        <f t="shared" si="39"/>
        <v>244.245</v>
      </c>
      <c r="F98" s="72"/>
      <c r="G98" s="79">
        <f t="shared" si="40"/>
        <v>0</v>
      </c>
      <c r="H98" s="79">
        <f t="shared" si="41"/>
        <v>0</v>
      </c>
      <c r="I98" s="79">
        <f t="shared" si="42"/>
        <v>0</v>
      </c>
      <c r="J98" s="79">
        <f t="shared" si="43"/>
        <v>0</v>
      </c>
      <c r="K98" s="79">
        <f t="shared" si="44"/>
        <v>0</v>
      </c>
      <c r="L98" s="79">
        <f t="shared" si="45"/>
        <v>0</v>
      </c>
      <c r="M98" s="80">
        <f t="shared" si="46"/>
        <v>244.245</v>
      </c>
      <c r="N98" s="79">
        <f t="shared" si="47"/>
        <v>0</v>
      </c>
      <c r="O98" s="79">
        <f t="shared" si="48"/>
        <v>0</v>
      </c>
      <c r="P98" s="79">
        <f t="shared" si="49"/>
        <v>0</v>
      </c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16" t="s">
        <v>139</v>
      </c>
      <c r="C99" s="76"/>
      <c r="D99" s="77"/>
      <c r="E99" s="78">
        <f t="shared" si="39"/>
        <v>0</v>
      </c>
      <c r="F99" s="72"/>
      <c r="G99" s="79">
        <f t="shared" si="40"/>
        <v>0</v>
      </c>
      <c r="H99" s="79">
        <f t="shared" si="41"/>
        <v>0</v>
      </c>
      <c r="I99" s="79">
        <f t="shared" si="42"/>
        <v>0</v>
      </c>
      <c r="J99" s="79">
        <f t="shared" si="43"/>
        <v>0</v>
      </c>
      <c r="K99" s="79">
        <f t="shared" si="44"/>
        <v>0</v>
      </c>
      <c r="L99" s="79">
        <f t="shared" si="45"/>
        <v>0</v>
      </c>
      <c r="M99" s="80">
        <f t="shared" si="46"/>
        <v>0</v>
      </c>
      <c r="N99" s="79">
        <f t="shared" si="47"/>
        <v>0</v>
      </c>
      <c r="O99" s="79">
        <f t="shared" si="48"/>
        <v>0</v>
      </c>
      <c r="P99" s="79">
        <f t="shared" si="49"/>
        <v>0</v>
      </c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16" t="s">
        <v>139</v>
      </c>
      <c r="C100" s="76"/>
      <c r="D100" s="77"/>
      <c r="E100" s="78">
        <f t="shared" si="39"/>
        <v>0</v>
      </c>
      <c r="F100" s="72"/>
      <c r="G100" s="79">
        <f t="shared" si="40"/>
        <v>0</v>
      </c>
      <c r="H100" s="79">
        <f t="shared" si="41"/>
        <v>0</v>
      </c>
      <c r="I100" s="79">
        <f t="shared" si="42"/>
        <v>0</v>
      </c>
      <c r="J100" s="79">
        <f t="shared" si="43"/>
        <v>0</v>
      </c>
      <c r="K100" s="79">
        <f t="shared" si="44"/>
        <v>0</v>
      </c>
      <c r="L100" s="79">
        <f t="shared" si="45"/>
        <v>0</v>
      </c>
      <c r="M100" s="80">
        <f t="shared" si="46"/>
        <v>0</v>
      </c>
      <c r="N100" s="79">
        <f t="shared" si="47"/>
        <v>0</v>
      </c>
      <c r="O100" s="79">
        <f t="shared" si="48"/>
        <v>0</v>
      </c>
      <c r="P100" s="79">
        <f t="shared" si="49"/>
        <v>0</v>
      </c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16" t="s">
        <v>143</v>
      </c>
      <c r="C101" s="76"/>
      <c r="D101" s="77"/>
      <c r="E101" s="78">
        <f t="shared" si="39"/>
        <v>0</v>
      </c>
      <c r="F101" s="72"/>
      <c r="G101" s="79">
        <f t="shared" si="40"/>
        <v>0</v>
      </c>
      <c r="H101" s="79">
        <f t="shared" si="41"/>
        <v>0</v>
      </c>
      <c r="I101" s="79">
        <f t="shared" si="42"/>
        <v>0</v>
      </c>
      <c r="J101" s="79">
        <f t="shared" si="43"/>
        <v>0</v>
      </c>
      <c r="K101" s="79">
        <f t="shared" si="44"/>
        <v>0</v>
      </c>
      <c r="L101" s="79">
        <f t="shared" si="45"/>
        <v>0</v>
      </c>
      <c r="M101" s="80">
        <f t="shared" si="46"/>
        <v>0</v>
      </c>
      <c r="N101" s="79">
        <f t="shared" si="47"/>
        <v>0</v>
      </c>
      <c r="O101" s="79">
        <f t="shared" si="48"/>
        <v>0</v>
      </c>
      <c r="P101" s="79">
        <f t="shared" si="49"/>
        <v>0</v>
      </c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62"/>
      <c r="B102" s="16"/>
      <c r="C102" s="62"/>
      <c r="D102" s="16"/>
      <c r="E102" s="16"/>
      <c r="F102" s="72"/>
      <c r="G102" s="73">
        <f t="shared" ref="G102:P102" si="53">SUM(G77:G101)</f>
        <v>0</v>
      </c>
      <c r="H102" s="73">
        <f t="shared" si="53"/>
        <v>1793.835</v>
      </c>
      <c r="I102" s="73">
        <f t="shared" si="53"/>
        <v>0</v>
      </c>
      <c r="J102" s="73">
        <f t="shared" si="53"/>
        <v>772.26215</v>
      </c>
      <c r="K102" s="73">
        <f t="shared" si="53"/>
        <v>3097.5</v>
      </c>
      <c r="L102" s="73">
        <f t="shared" si="53"/>
        <v>0</v>
      </c>
      <c r="M102" s="73">
        <f t="shared" si="53"/>
        <v>1547.575</v>
      </c>
      <c r="N102" s="73">
        <f t="shared" si="53"/>
        <v>0</v>
      </c>
      <c r="O102" s="73">
        <f t="shared" si="53"/>
        <v>0</v>
      </c>
      <c r="P102" s="73">
        <f t="shared" si="53"/>
        <v>0</v>
      </c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16"/>
      <c r="C103" s="16"/>
      <c r="D103" s="16"/>
      <c r="E103" s="16"/>
      <c r="F103" s="72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62" t="s">
        <v>165</v>
      </c>
      <c r="B105" s="16"/>
      <c r="C105" s="76"/>
      <c r="D105" s="77"/>
      <c r="E105" s="78">
        <f t="shared" ref="E105:E113" si="54">C105*D105</f>
        <v>0</v>
      </c>
      <c r="F105" s="72">
        <f>SUM(G106:M113)*$F$25</f>
        <v>813.09648</v>
      </c>
      <c r="G105" s="79">
        <f t="shared" ref="G105:G113" si="55">IF(B105="metalas",E105*$G$26,0)</f>
        <v>0</v>
      </c>
      <c r="H105" s="79">
        <f t="shared" ref="H105:H113" si="56">IF(B105="LMDP",E105*$H$26,0)</f>
        <v>0</v>
      </c>
      <c r="I105" s="79">
        <f t="shared" ref="I105:I113" si="57">IF(B105="paslauga",E105*$I$26,0)</f>
        <v>0</v>
      </c>
      <c r="J105" s="79">
        <f t="shared" ref="J105:J113" si="58">IF(B105="masyvas",E105*$J$26,0)</f>
        <v>0</v>
      </c>
      <c r="K105" s="79">
        <f t="shared" ref="K105:K113" si="59">IF(B105="furnitura",E105*$K$26,0)</f>
        <v>0</v>
      </c>
      <c r="L105" s="79">
        <f t="shared" ref="L105:L113" si="60">IF(B105="stiklas",E105*$L$26,0)</f>
        <v>0</v>
      </c>
      <c r="M105" s="80">
        <f t="shared" ref="M105:M113" si="61">IF(B105="be kofo",E105*$M$26,0)</f>
        <v>0</v>
      </c>
      <c r="N105" s="79">
        <f t="shared" ref="N105:N113" si="62">IF(G105="paslauga",J105*$I$26,0)</f>
        <v>0</v>
      </c>
      <c r="O105" s="79">
        <f t="shared" ref="O105:O113" si="63">IF(G105="masyvas",J105*$J$26,0)</f>
        <v>0</v>
      </c>
      <c r="P105" s="79">
        <f t="shared" ref="P105:P113" si="64">IF(G105="furnitura",J105*$K$26,0)</f>
        <v>0</v>
      </c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 t="s">
        <v>132</v>
      </c>
      <c r="B106" s="16" t="s">
        <v>121</v>
      </c>
      <c r="C106" s="76">
        <f>C107+C108</f>
        <v>3.7005</v>
      </c>
      <c r="D106" s="81">
        <f>N2</f>
        <v>15</v>
      </c>
      <c r="E106" s="78">
        <f t="shared" si="54"/>
        <v>55.5075</v>
      </c>
      <c r="F106" s="72"/>
      <c r="G106" s="79">
        <f t="shared" si="55"/>
        <v>0</v>
      </c>
      <c r="H106" s="79">
        <f t="shared" si="56"/>
        <v>166.5225</v>
      </c>
      <c r="I106" s="79">
        <f t="shared" si="57"/>
        <v>0</v>
      </c>
      <c r="J106" s="79">
        <f t="shared" si="58"/>
        <v>0</v>
      </c>
      <c r="K106" s="79">
        <f t="shared" si="59"/>
        <v>0</v>
      </c>
      <c r="L106" s="79">
        <f t="shared" si="60"/>
        <v>0</v>
      </c>
      <c r="M106" s="80">
        <f t="shared" si="61"/>
        <v>0</v>
      </c>
      <c r="N106" s="79">
        <f t="shared" si="62"/>
        <v>0</v>
      </c>
      <c r="O106" s="79">
        <f t="shared" si="63"/>
        <v>0</v>
      </c>
      <c r="P106" s="79">
        <f t="shared" si="64"/>
        <v>0</v>
      </c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 t="s">
        <v>152</v>
      </c>
      <c r="B107" s="16" t="s">
        <v>134</v>
      </c>
      <c r="C107" s="76">
        <f>1.2*0.25*2+0.795*0.25*6+1.2*0.795</f>
        <v>2.7465</v>
      </c>
      <c r="D107" s="77">
        <f>+J7</f>
        <v>18</v>
      </c>
      <c r="E107" s="78">
        <f t="shared" si="54"/>
        <v>49.437</v>
      </c>
      <c r="F107" s="72"/>
      <c r="G107" s="79">
        <f t="shared" si="55"/>
        <v>0</v>
      </c>
      <c r="H107" s="79">
        <f t="shared" si="56"/>
        <v>0</v>
      </c>
      <c r="I107" s="79">
        <f t="shared" si="57"/>
        <v>0</v>
      </c>
      <c r="J107" s="79">
        <f t="shared" si="58"/>
        <v>54.3807</v>
      </c>
      <c r="K107" s="79">
        <f t="shared" si="59"/>
        <v>0</v>
      </c>
      <c r="L107" s="79">
        <f t="shared" si="60"/>
        <v>0</v>
      </c>
      <c r="M107" s="80">
        <f t="shared" si="61"/>
        <v>0</v>
      </c>
      <c r="N107" s="79">
        <f t="shared" si="62"/>
        <v>0</v>
      </c>
      <c r="O107" s="79">
        <f t="shared" si="63"/>
        <v>0</v>
      </c>
      <c r="P107" s="79">
        <f t="shared" si="64"/>
        <v>0</v>
      </c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23" t="s">
        <v>166</v>
      </c>
      <c r="B108" s="16" t="s">
        <v>134</v>
      </c>
      <c r="C108" s="76">
        <f>1.2*0.795</f>
        <v>0.954</v>
      </c>
      <c r="D108" s="86">
        <v>200.0</v>
      </c>
      <c r="E108" s="78">
        <f t="shared" si="54"/>
        <v>190.8</v>
      </c>
      <c r="F108" s="72"/>
      <c r="G108" s="79">
        <f t="shared" si="55"/>
        <v>0</v>
      </c>
      <c r="H108" s="79">
        <f t="shared" si="56"/>
        <v>0</v>
      </c>
      <c r="I108" s="79">
        <f t="shared" si="57"/>
        <v>0</v>
      </c>
      <c r="J108" s="79">
        <f t="shared" si="58"/>
        <v>209.88</v>
      </c>
      <c r="K108" s="79">
        <f t="shared" si="59"/>
        <v>0</v>
      </c>
      <c r="L108" s="79">
        <f t="shared" si="60"/>
        <v>0</v>
      </c>
      <c r="M108" s="80">
        <f t="shared" si="61"/>
        <v>0</v>
      </c>
      <c r="N108" s="79">
        <f t="shared" si="62"/>
        <v>0</v>
      </c>
      <c r="O108" s="79">
        <f t="shared" si="63"/>
        <v>0</v>
      </c>
      <c r="P108" s="79">
        <f t="shared" si="64"/>
        <v>0</v>
      </c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 t="s">
        <v>136</v>
      </c>
      <c r="B109" s="16" t="s">
        <v>137</v>
      </c>
      <c r="C109" s="76">
        <v>8.0</v>
      </c>
      <c r="D109" s="77">
        <f t="shared" ref="D109:D110" si="65">J8</f>
        <v>6</v>
      </c>
      <c r="E109" s="78">
        <f t="shared" si="54"/>
        <v>48</v>
      </c>
      <c r="F109" s="72"/>
      <c r="G109" s="79">
        <f t="shared" si="55"/>
        <v>0</v>
      </c>
      <c r="H109" s="79">
        <f t="shared" si="56"/>
        <v>0</v>
      </c>
      <c r="I109" s="79">
        <f t="shared" si="57"/>
        <v>0</v>
      </c>
      <c r="J109" s="79">
        <f t="shared" si="58"/>
        <v>0</v>
      </c>
      <c r="K109" s="79">
        <f t="shared" si="59"/>
        <v>96</v>
      </c>
      <c r="L109" s="79">
        <f t="shared" si="60"/>
        <v>0</v>
      </c>
      <c r="M109" s="80">
        <f t="shared" si="61"/>
        <v>0</v>
      </c>
      <c r="N109" s="79">
        <f t="shared" si="62"/>
        <v>0</v>
      </c>
      <c r="O109" s="79">
        <f t="shared" si="63"/>
        <v>0</v>
      </c>
      <c r="P109" s="79">
        <f t="shared" si="64"/>
        <v>0</v>
      </c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 t="s">
        <v>159</v>
      </c>
      <c r="B110" s="16" t="s">
        <v>137</v>
      </c>
      <c r="C110" s="76">
        <v>2.0</v>
      </c>
      <c r="D110" s="77">
        <f t="shared" si="65"/>
        <v>6</v>
      </c>
      <c r="E110" s="78">
        <f t="shared" si="54"/>
        <v>12</v>
      </c>
      <c r="F110" s="72"/>
      <c r="G110" s="79">
        <f t="shared" si="55"/>
        <v>0</v>
      </c>
      <c r="H110" s="79">
        <f t="shared" si="56"/>
        <v>0</v>
      </c>
      <c r="I110" s="79">
        <f t="shared" si="57"/>
        <v>0</v>
      </c>
      <c r="J110" s="79">
        <f t="shared" si="58"/>
        <v>0</v>
      </c>
      <c r="K110" s="79">
        <f t="shared" si="59"/>
        <v>24</v>
      </c>
      <c r="L110" s="79">
        <f t="shared" si="60"/>
        <v>0</v>
      </c>
      <c r="M110" s="80">
        <f t="shared" si="61"/>
        <v>0</v>
      </c>
      <c r="N110" s="79">
        <f t="shared" si="62"/>
        <v>0</v>
      </c>
      <c r="O110" s="79">
        <f t="shared" si="63"/>
        <v>0</v>
      </c>
      <c r="P110" s="79">
        <f t="shared" si="64"/>
        <v>0</v>
      </c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 t="s">
        <v>59</v>
      </c>
      <c r="B111" s="16" t="s">
        <v>139</v>
      </c>
      <c r="C111" s="76">
        <f>C109+C110</f>
        <v>10</v>
      </c>
      <c r="D111" s="77">
        <f>N7</f>
        <v>3</v>
      </c>
      <c r="E111" s="78">
        <f t="shared" si="54"/>
        <v>30</v>
      </c>
      <c r="F111" s="72"/>
      <c r="G111" s="79">
        <f t="shared" si="55"/>
        <v>0</v>
      </c>
      <c r="H111" s="79">
        <f t="shared" si="56"/>
        <v>0</v>
      </c>
      <c r="I111" s="79">
        <f t="shared" si="57"/>
        <v>0</v>
      </c>
      <c r="J111" s="79">
        <f t="shared" si="58"/>
        <v>0</v>
      </c>
      <c r="K111" s="79">
        <f t="shared" si="59"/>
        <v>0</v>
      </c>
      <c r="L111" s="79">
        <f t="shared" si="60"/>
        <v>0</v>
      </c>
      <c r="M111" s="80">
        <f t="shared" si="61"/>
        <v>30</v>
      </c>
      <c r="N111" s="79">
        <f t="shared" si="62"/>
        <v>0</v>
      </c>
      <c r="O111" s="79">
        <f t="shared" si="63"/>
        <v>0</v>
      </c>
      <c r="P111" s="79">
        <f t="shared" si="64"/>
        <v>0</v>
      </c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16" t="s">
        <v>143</v>
      </c>
      <c r="C112" s="76"/>
      <c r="D112" s="77"/>
      <c r="E112" s="78">
        <f t="shared" si="54"/>
        <v>0</v>
      </c>
      <c r="F112" s="72"/>
      <c r="G112" s="79">
        <f t="shared" si="55"/>
        <v>0</v>
      </c>
      <c r="H112" s="79">
        <f t="shared" si="56"/>
        <v>0</v>
      </c>
      <c r="I112" s="79">
        <f t="shared" si="57"/>
        <v>0</v>
      </c>
      <c r="J112" s="79">
        <f t="shared" si="58"/>
        <v>0</v>
      </c>
      <c r="K112" s="79">
        <f t="shared" si="59"/>
        <v>0</v>
      </c>
      <c r="L112" s="79">
        <f t="shared" si="60"/>
        <v>0</v>
      </c>
      <c r="M112" s="80">
        <f t="shared" si="61"/>
        <v>0</v>
      </c>
      <c r="N112" s="79">
        <f t="shared" si="62"/>
        <v>0</v>
      </c>
      <c r="O112" s="79">
        <f t="shared" si="63"/>
        <v>0</v>
      </c>
      <c r="P112" s="79">
        <f t="shared" si="64"/>
        <v>0</v>
      </c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16" t="s">
        <v>143</v>
      </c>
      <c r="C113" s="76"/>
      <c r="D113" s="77"/>
      <c r="E113" s="78">
        <f t="shared" si="54"/>
        <v>0</v>
      </c>
      <c r="F113" s="72"/>
      <c r="G113" s="79">
        <f t="shared" si="55"/>
        <v>0</v>
      </c>
      <c r="H113" s="79">
        <f t="shared" si="56"/>
        <v>0</v>
      </c>
      <c r="I113" s="79">
        <f t="shared" si="57"/>
        <v>0</v>
      </c>
      <c r="J113" s="79">
        <f t="shared" si="58"/>
        <v>0</v>
      </c>
      <c r="K113" s="79">
        <f t="shared" si="59"/>
        <v>0</v>
      </c>
      <c r="L113" s="79">
        <f t="shared" si="60"/>
        <v>0</v>
      </c>
      <c r="M113" s="80">
        <f t="shared" si="61"/>
        <v>0</v>
      </c>
      <c r="N113" s="79">
        <f t="shared" si="62"/>
        <v>0</v>
      </c>
      <c r="O113" s="79">
        <f t="shared" si="63"/>
        <v>0</v>
      </c>
      <c r="P113" s="79">
        <f t="shared" si="64"/>
        <v>0</v>
      </c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62"/>
      <c r="B114" s="16"/>
      <c r="C114" s="62"/>
      <c r="D114" s="16"/>
      <c r="E114" s="16"/>
      <c r="F114" s="72"/>
      <c r="G114" s="73">
        <f t="shared" ref="G114:P114" si="66">SUM(G105:G113)</f>
        <v>0</v>
      </c>
      <c r="H114" s="73">
        <f t="shared" si="66"/>
        <v>166.5225</v>
      </c>
      <c r="I114" s="73">
        <f t="shared" si="66"/>
        <v>0</v>
      </c>
      <c r="J114" s="73">
        <f t="shared" si="66"/>
        <v>264.2607</v>
      </c>
      <c r="K114" s="73">
        <f t="shared" si="66"/>
        <v>120</v>
      </c>
      <c r="L114" s="73">
        <f t="shared" si="66"/>
        <v>0</v>
      </c>
      <c r="M114" s="73">
        <f t="shared" si="66"/>
        <v>30</v>
      </c>
      <c r="N114" s="73">
        <f t="shared" si="66"/>
        <v>0</v>
      </c>
      <c r="O114" s="73">
        <f t="shared" si="66"/>
        <v>0</v>
      </c>
      <c r="P114" s="73">
        <f t="shared" si="66"/>
        <v>0</v>
      </c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62" t="s">
        <v>167</v>
      </c>
      <c r="B117" s="16"/>
      <c r="C117" s="76"/>
      <c r="D117" s="77"/>
      <c r="E117" s="78">
        <f t="shared" ref="E117:E125" si="67">C117*D117</f>
        <v>0</v>
      </c>
      <c r="F117" s="72">
        <f>SUM(G118:M125)*$F$25</f>
        <v>299.17524</v>
      </c>
      <c r="G117" s="79">
        <f t="shared" ref="G117:G125" si="68">IF(B117="metalas",E117*$G$26,0)</f>
        <v>0</v>
      </c>
      <c r="H117" s="79">
        <f t="shared" ref="H117:H125" si="69">IF(B117="LMDP",E117*$H$26,0)</f>
        <v>0</v>
      </c>
      <c r="I117" s="79">
        <f t="shared" ref="I117:I125" si="70">IF(B117="paslauga",E117*$I$26,0)</f>
        <v>0</v>
      </c>
      <c r="J117" s="79">
        <f t="shared" ref="J117:J125" si="71">IF(B117="masyvas",E117*$J$26,0)</f>
        <v>0</v>
      </c>
      <c r="K117" s="79">
        <f t="shared" ref="K117:K125" si="72">IF(B117="furnitura",E117*$K$26,0)</f>
        <v>0</v>
      </c>
      <c r="L117" s="79">
        <f t="shared" ref="L117:L125" si="73">IF(B117="stiklas",E117*$L$26,0)</f>
        <v>0</v>
      </c>
      <c r="M117" s="80">
        <f t="shared" ref="M117:M125" si="74">IF(B117="be kofo",E117*$M$26,0)</f>
        <v>0</v>
      </c>
      <c r="N117" s="79">
        <f t="shared" ref="N117:N125" si="75">IF(G117="paslauga",J117*$I$26,0)</f>
        <v>0</v>
      </c>
      <c r="O117" s="79">
        <f t="shared" ref="O117:O125" si="76">IF(G117="masyvas",J117*$J$26,0)</f>
        <v>0</v>
      </c>
      <c r="P117" s="79">
        <f t="shared" ref="P117:P125" si="77">IF(G117="furnitura",J117*$K$26,0)</f>
        <v>0</v>
      </c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 t="s">
        <v>168</v>
      </c>
      <c r="B118" s="16" t="s">
        <v>121</v>
      </c>
      <c r="C118" s="76">
        <f>C119+C120</f>
        <v>2.145</v>
      </c>
      <c r="D118" s="81">
        <f>N2</f>
        <v>15</v>
      </c>
      <c r="E118" s="78">
        <f t="shared" si="67"/>
        <v>32.175</v>
      </c>
      <c r="F118" s="72"/>
      <c r="G118" s="79">
        <f t="shared" si="68"/>
        <v>0</v>
      </c>
      <c r="H118" s="79">
        <f t="shared" si="69"/>
        <v>96.525</v>
      </c>
      <c r="I118" s="79">
        <f t="shared" si="70"/>
        <v>0</v>
      </c>
      <c r="J118" s="79">
        <f t="shared" si="71"/>
        <v>0</v>
      </c>
      <c r="K118" s="79">
        <f t="shared" si="72"/>
        <v>0</v>
      </c>
      <c r="L118" s="79">
        <f t="shared" si="73"/>
        <v>0</v>
      </c>
      <c r="M118" s="80">
        <f t="shared" si="74"/>
        <v>0</v>
      </c>
      <c r="N118" s="79">
        <f t="shared" si="75"/>
        <v>0</v>
      </c>
      <c r="O118" s="79">
        <f t="shared" si="76"/>
        <v>0</v>
      </c>
      <c r="P118" s="79">
        <f t="shared" si="77"/>
        <v>0</v>
      </c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 t="s">
        <v>152</v>
      </c>
      <c r="B119" s="16" t="s">
        <v>134</v>
      </c>
      <c r="C119" s="76">
        <f>1.2*0.305*2+0.36*0.305*5+1.2*0.36</f>
        <v>1.713</v>
      </c>
      <c r="D119" s="77">
        <f>J6</f>
        <v>12</v>
      </c>
      <c r="E119" s="78">
        <f t="shared" si="67"/>
        <v>20.556</v>
      </c>
      <c r="F119" s="72"/>
      <c r="G119" s="79">
        <f t="shared" si="68"/>
        <v>0</v>
      </c>
      <c r="H119" s="79">
        <f t="shared" si="69"/>
        <v>0</v>
      </c>
      <c r="I119" s="79">
        <f t="shared" si="70"/>
        <v>0</v>
      </c>
      <c r="J119" s="79">
        <f t="shared" si="71"/>
        <v>22.6116</v>
      </c>
      <c r="K119" s="79">
        <f t="shared" si="72"/>
        <v>0</v>
      </c>
      <c r="L119" s="79">
        <f t="shared" si="73"/>
        <v>0</v>
      </c>
      <c r="M119" s="80">
        <f t="shared" si="74"/>
        <v>0</v>
      </c>
      <c r="N119" s="79">
        <f t="shared" si="75"/>
        <v>0</v>
      </c>
      <c r="O119" s="79">
        <f t="shared" si="76"/>
        <v>0</v>
      </c>
      <c r="P119" s="79">
        <f t="shared" si="77"/>
        <v>0</v>
      </c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 t="s">
        <v>169</v>
      </c>
      <c r="B120" s="16" t="s">
        <v>34</v>
      </c>
      <c r="C120" s="76">
        <f>1.2*0.36</f>
        <v>0.432</v>
      </c>
      <c r="D120" s="77">
        <f>F16</f>
        <v>40</v>
      </c>
      <c r="E120" s="78">
        <f t="shared" si="67"/>
        <v>17.28</v>
      </c>
      <c r="F120" s="72"/>
      <c r="G120" s="79">
        <f t="shared" si="68"/>
        <v>0</v>
      </c>
      <c r="H120" s="79">
        <f t="shared" si="69"/>
        <v>0</v>
      </c>
      <c r="I120" s="79">
        <f t="shared" si="70"/>
        <v>0</v>
      </c>
      <c r="J120" s="79">
        <f t="shared" si="71"/>
        <v>0</v>
      </c>
      <c r="K120" s="79">
        <f t="shared" si="72"/>
        <v>0</v>
      </c>
      <c r="L120" s="79">
        <f t="shared" si="73"/>
        <v>34.56</v>
      </c>
      <c r="M120" s="80">
        <f t="shared" si="74"/>
        <v>0</v>
      </c>
      <c r="N120" s="79">
        <f t="shared" si="75"/>
        <v>0</v>
      </c>
      <c r="O120" s="79">
        <f t="shared" si="76"/>
        <v>0</v>
      </c>
      <c r="P120" s="79">
        <f t="shared" si="77"/>
        <v>0</v>
      </c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 t="s">
        <v>136</v>
      </c>
      <c r="B121" s="16" t="s">
        <v>137</v>
      </c>
      <c r="C121" s="76">
        <v>4.0</v>
      </c>
      <c r="D121" s="77">
        <f>J8</f>
        <v>6</v>
      </c>
      <c r="E121" s="78">
        <f t="shared" si="67"/>
        <v>24</v>
      </c>
      <c r="F121" s="72"/>
      <c r="G121" s="79">
        <f t="shared" si="68"/>
        <v>0</v>
      </c>
      <c r="H121" s="79">
        <f t="shared" si="69"/>
        <v>0</v>
      </c>
      <c r="I121" s="79">
        <f t="shared" si="70"/>
        <v>0</v>
      </c>
      <c r="J121" s="79">
        <f t="shared" si="71"/>
        <v>0</v>
      </c>
      <c r="K121" s="79">
        <f t="shared" si="72"/>
        <v>48</v>
      </c>
      <c r="L121" s="79">
        <f t="shared" si="73"/>
        <v>0</v>
      </c>
      <c r="M121" s="80">
        <f t="shared" si="74"/>
        <v>0</v>
      </c>
      <c r="N121" s="79">
        <f t="shared" si="75"/>
        <v>0</v>
      </c>
      <c r="O121" s="79">
        <f t="shared" si="76"/>
        <v>0</v>
      </c>
      <c r="P121" s="79">
        <f t="shared" si="77"/>
        <v>0</v>
      </c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 t="s">
        <v>59</v>
      </c>
      <c r="B122" s="16" t="s">
        <v>139</v>
      </c>
      <c r="C122" s="76">
        <v>4.0</v>
      </c>
      <c r="D122" s="77">
        <f>N7</f>
        <v>3</v>
      </c>
      <c r="E122" s="78">
        <f t="shared" si="67"/>
        <v>12</v>
      </c>
      <c r="F122" s="72"/>
      <c r="G122" s="79">
        <f t="shared" si="68"/>
        <v>0</v>
      </c>
      <c r="H122" s="79">
        <f t="shared" si="69"/>
        <v>0</v>
      </c>
      <c r="I122" s="79">
        <f t="shared" si="70"/>
        <v>0</v>
      </c>
      <c r="J122" s="79">
        <f t="shared" si="71"/>
        <v>0</v>
      </c>
      <c r="K122" s="79">
        <f t="shared" si="72"/>
        <v>0</v>
      </c>
      <c r="L122" s="79">
        <f t="shared" si="73"/>
        <v>0</v>
      </c>
      <c r="M122" s="80">
        <f t="shared" si="74"/>
        <v>12</v>
      </c>
      <c r="N122" s="79">
        <f t="shared" si="75"/>
        <v>0</v>
      </c>
      <c r="O122" s="79">
        <f t="shared" si="76"/>
        <v>0</v>
      </c>
      <c r="P122" s="79">
        <f t="shared" si="77"/>
        <v>0</v>
      </c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16" t="s">
        <v>143</v>
      </c>
      <c r="C123" s="76"/>
      <c r="D123" s="77"/>
      <c r="E123" s="78">
        <f t="shared" si="67"/>
        <v>0</v>
      </c>
      <c r="F123" s="72"/>
      <c r="G123" s="79">
        <f t="shared" si="68"/>
        <v>0</v>
      </c>
      <c r="H123" s="79">
        <f t="shared" si="69"/>
        <v>0</v>
      </c>
      <c r="I123" s="79">
        <f t="shared" si="70"/>
        <v>0</v>
      </c>
      <c r="J123" s="79">
        <f t="shared" si="71"/>
        <v>0</v>
      </c>
      <c r="K123" s="79">
        <f t="shared" si="72"/>
        <v>0</v>
      </c>
      <c r="L123" s="79">
        <f t="shared" si="73"/>
        <v>0</v>
      </c>
      <c r="M123" s="80">
        <f t="shared" si="74"/>
        <v>0</v>
      </c>
      <c r="N123" s="79">
        <f t="shared" si="75"/>
        <v>0</v>
      </c>
      <c r="O123" s="79">
        <f t="shared" si="76"/>
        <v>0</v>
      </c>
      <c r="P123" s="79">
        <f t="shared" si="77"/>
        <v>0</v>
      </c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16" t="s">
        <v>143</v>
      </c>
      <c r="C124" s="76"/>
      <c r="D124" s="77"/>
      <c r="E124" s="78">
        <f t="shared" si="67"/>
        <v>0</v>
      </c>
      <c r="F124" s="72"/>
      <c r="G124" s="79">
        <f t="shared" si="68"/>
        <v>0</v>
      </c>
      <c r="H124" s="79">
        <f t="shared" si="69"/>
        <v>0</v>
      </c>
      <c r="I124" s="79">
        <f t="shared" si="70"/>
        <v>0</v>
      </c>
      <c r="J124" s="79">
        <f t="shared" si="71"/>
        <v>0</v>
      </c>
      <c r="K124" s="79">
        <f t="shared" si="72"/>
        <v>0</v>
      </c>
      <c r="L124" s="79">
        <f t="shared" si="73"/>
        <v>0</v>
      </c>
      <c r="M124" s="80">
        <f t="shared" si="74"/>
        <v>0</v>
      </c>
      <c r="N124" s="79">
        <f t="shared" si="75"/>
        <v>0</v>
      </c>
      <c r="O124" s="79">
        <f t="shared" si="76"/>
        <v>0</v>
      </c>
      <c r="P124" s="79">
        <f t="shared" si="77"/>
        <v>0</v>
      </c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16" t="s">
        <v>143</v>
      </c>
      <c r="C125" s="76"/>
      <c r="D125" s="77"/>
      <c r="E125" s="78">
        <f t="shared" si="67"/>
        <v>0</v>
      </c>
      <c r="F125" s="72"/>
      <c r="G125" s="79">
        <f t="shared" si="68"/>
        <v>0</v>
      </c>
      <c r="H125" s="79">
        <f t="shared" si="69"/>
        <v>0</v>
      </c>
      <c r="I125" s="79">
        <f t="shared" si="70"/>
        <v>0</v>
      </c>
      <c r="J125" s="79">
        <f t="shared" si="71"/>
        <v>0</v>
      </c>
      <c r="K125" s="79">
        <f t="shared" si="72"/>
        <v>0</v>
      </c>
      <c r="L125" s="79">
        <f t="shared" si="73"/>
        <v>0</v>
      </c>
      <c r="M125" s="80">
        <f t="shared" si="74"/>
        <v>0</v>
      </c>
      <c r="N125" s="79">
        <f t="shared" si="75"/>
        <v>0</v>
      </c>
      <c r="O125" s="79">
        <f t="shared" si="76"/>
        <v>0</v>
      </c>
      <c r="P125" s="79">
        <f t="shared" si="77"/>
        <v>0</v>
      </c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62"/>
      <c r="B126" s="16"/>
      <c r="C126" s="62"/>
      <c r="D126" s="16"/>
      <c r="E126" s="16"/>
      <c r="F126" s="72"/>
      <c r="G126" s="73">
        <f t="shared" ref="G126:P126" si="78">SUM(G117:G125)</f>
        <v>0</v>
      </c>
      <c r="H126" s="73">
        <f t="shared" si="78"/>
        <v>96.525</v>
      </c>
      <c r="I126" s="73">
        <f t="shared" si="78"/>
        <v>0</v>
      </c>
      <c r="J126" s="73">
        <f t="shared" si="78"/>
        <v>22.6116</v>
      </c>
      <c r="K126" s="73">
        <f t="shared" si="78"/>
        <v>48</v>
      </c>
      <c r="L126" s="73">
        <f t="shared" si="78"/>
        <v>34.56</v>
      </c>
      <c r="M126" s="73">
        <f t="shared" si="78"/>
        <v>12</v>
      </c>
      <c r="N126" s="73">
        <f t="shared" si="78"/>
        <v>0</v>
      </c>
      <c r="O126" s="73">
        <f t="shared" si="78"/>
        <v>0</v>
      </c>
      <c r="P126" s="73">
        <f t="shared" si="78"/>
        <v>0</v>
      </c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62" t="s">
        <v>170</v>
      </c>
      <c r="B129" s="16"/>
      <c r="C129" s="76"/>
      <c r="D129" s="77"/>
      <c r="E129" s="78">
        <f t="shared" ref="E129:E138" si="79">C129*D129</f>
        <v>0</v>
      </c>
      <c r="F129" s="72">
        <f>SUM(G130:M138)*$F$25</f>
        <v>942.03704</v>
      </c>
      <c r="G129" s="79">
        <f t="shared" ref="G129:G138" si="80">IF(B129="metalas",E129*$G$26,0)</f>
        <v>0</v>
      </c>
      <c r="H129" s="79">
        <f t="shared" ref="H129:H138" si="81">IF(B129="LMDP",E129*$H$26,0)</f>
        <v>0</v>
      </c>
      <c r="I129" s="79">
        <f t="shared" ref="I129:I138" si="82">IF(B129="paslauga",E129*$I$26,0)</f>
        <v>0</v>
      </c>
      <c r="J129" s="79">
        <f t="shared" ref="J129:J138" si="83">IF(B129="masyvas",E129*$J$26,0)</f>
        <v>0</v>
      </c>
      <c r="K129" s="79">
        <f t="shared" ref="K129:K138" si="84">IF(B129="furnitura",E129*$K$26,0)</f>
        <v>0</v>
      </c>
      <c r="L129" s="79">
        <f t="shared" ref="L129:L138" si="85">IF(B129="stiklas",E129*$L$26,0)</f>
        <v>0</v>
      </c>
      <c r="M129" s="80">
        <f t="shared" ref="M129:M138" si="86">IF(B129="be kofo",E129*$M$26,0)</f>
        <v>0</v>
      </c>
      <c r="N129" s="79">
        <f t="shared" ref="N129:N138" si="87">IF(G129="paslauga",J129*$I$26,0)</f>
        <v>0</v>
      </c>
      <c r="O129" s="79">
        <f t="shared" ref="O129:O138" si="88">IF(G129="masyvas",J129*$J$26,0)</f>
        <v>0</v>
      </c>
      <c r="P129" s="79">
        <f t="shared" ref="P129:P138" si="89">IF(G129="furnitura",J129*$K$26,0)</f>
        <v>0</v>
      </c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 t="s">
        <v>132</v>
      </c>
      <c r="B130" s="16" t="s">
        <v>121</v>
      </c>
      <c r="C130" s="76">
        <f>C131+C132</f>
        <v>4.056</v>
      </c>
      <c r="D130" s="81">
        <f>N2</f>
        <v>15</v>
      </c>
      <c r="E130" s="78">
        <f t="shared" si="79"/>
        <v>60.84</v>
      </c>
      <c r="F130" s="72"/>
      <c r="G130" s="79">
        <f t="shared" si="80"/>
        <v>0</v>
      </c>
      <c r="H130" s="79">
        <f t="shared" si="81"/>
        <v>182.52</v>
      </c>
      <c r="I130" s="79">
        <f t="shared" si="82"/>
        <v>0</v>
      </c>
      <c r="J130" s="79">
        <f t="shared" si="83"/>
        <v>0</v>
      </c>
      <c r="K130" s="79">
        <f t="shared" si="84"/>
        <v>0</v>
      </c>
      <c r="L130" s="79">
        <f t="shared" si="85"/>
        <v>0</v>
      </c>
      <c r="M130" s="80">
        <f t="shared" si="86"/>
        <v>0</v>
      </c>
      <c r="N130" s="79">
        <f t="shared" si="87"/>
        <v>0</v>
      </c>
      <c r="O130" s="79">
        <f t="shared" si="88"/>
        <v>0</v>
      </c>
      <c r="P130" s="79">
        <f t="shared" si="89"/>
        <v>0</v>
      </c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 t="s">
        <v>171</v>
      </c>
      <c r="B131" s="16" t="s">
        <v>134</v>
      </c>
      <c r="C131" s="76">
        <f>1.15*0.55*2+0.2*0.55*3+1.15*0.22+1.15*0.55+1.15*0.2+1.15*0.35+1.15*0.1*2+1.15*0.2</f>
        <v>3.573</v>
      </c>
      <c r="D131" s="77">
        <f>J6</f>
        <v>12</v>
      </c>
      <c r="E131" s="78">
        <f t="shared" si="79"/>
        <v>42.876</v>
      </c>
      <c r="F131" s="72"/>
      <c r="G131" s="79">
        <f t="shared" si="80"/>
        <v>0</v>
      </c>
      <c r="H131" s="79">
        <f t="shared" si="81"/>
        <v>0</v>
      </c>
      <c r="I131" s="79">
        <f t="shared" si="82"/>
        <v>0</v>
      </c>
      <c r="J131" s="79">
        <f t="shared" si="83"/>
        <v>47.1636</v>
      </c>
      <c r="K131" s="79">
        <f t="shared" si="84"/>
        <v>0</v>
      </c>
      <c r="L131" s="79">
        <f t="shared" si="85"/>
        <v>0</v>
      </c>
      <c r="M131" s="80">
        <f t="shared" si="86"/>
        <v>0</v>
      </c>
      <c r="N131" s="79">
        <f t="shared" si="87"/>
        <v>0</v>
      </c>
      <c r="O131" s="79">
        <f t="shared" si="88"/>
        <v>0</v>
      </c>
      <c r="P131" s="79">
        <f t="shared" si="89"/>
        <v>0</v>
      </c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 t="s">
        <v>172</v>
      </c>
      <c r="B132" s="16" t="s">
        <v>139</v>
      </c>
      <c r="C132" s="76">
        <f>1.15*0.2+1.15*0.22</f>
        <v>0.483</v>
      </c>
      <c r="D132" s="86">
        <v>400.0</v>
      </c>
      <c r="E132" s="78">
        <f t="shared" si="79"/>
        <v>193.2</v>
      </c>
      <c r="F132" s="72"/>
      <c r="G132" s="79">
        <f t="shared" si="80"/>
        <v>0</v>
      </c>
      <c r="H132" s="79">
        <f t="shared" si="81"/>
        <v>0</v>
      </c>
      <c r="I132" s="79">
        <f t="shared" si="82"/>
        <v>0</v>
      </c>
      <c r="J132" s="79">
        <f t="shared" si="83"/>
        <v>0</v>
      </c>
      <c r="K132" s="79">
        <f t="shared" si="84"/>
        <v>0</v>
      </c>
      <c r="L132" s="79">
        <f t="shared" si="85"/>
        <v>0</v>
      </c>
      <c r="M132" s="80">
        <f t="shared" si="86"/>
        <v>193.2</v>
      </c>
      <c r="N132" s="79">
        <f t="shared" si="87"/>
        <v>0</v>
      </c>
      <c r="O132" s="79">
        <f t="shared" si="88"/>
        <v>0</v>
      </c>
      <c r="P132" s="79">
        <f t="shared" si="89"/>
        <v>0</v>
      </c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 t="s">
        <v>173</v>
      </c>
      <c r="B133" s="16" t="s">
        <v>139</v>
      </c>
      <c r="C133" s="76">
        <v>2.0</v>
      </c>
      <c r="D133" s="77">
        <f>N12</f>
        <v>90</v>
      </c>
      <c r="E133" s="78">
        <f t="shared" si="79"/>
        <v>180</v>
      </c>
      <c r="F133" s="72"/>
      <c r="G133" s="79">
        <f t="shared" si="80"/>
        <v>0</v>
      </c>
      <c r="H133" s="79">
        <f t="shared" si="81"/>
        <v>0</v>
      </c>
      <c r="I133" s="79">
        <f t="shared" si="82"/>
        <v>0</v>
      </c>
      <c r="J133" s="79">
        <f t="shared" si="83"/>
        <v>0</v>
      </c>
      <c r="K133" s="79">
        <f t="shared" si="84"/>
        <v>0</v>
      </c>
      <c r="L133" s="79">
        <f t="shared" si="85"/>
        <v>0</v>
      </c>
      <c r="M133" s="80">
        <f t="shared" si="86"/>
        <v>180</v>
      </c>
      <c r="N133" s="79">
        <f t="shared" si="87"/>
        <v>0</v>
      </c>
      <c r="O133" s="79">
        <f t="shared" si="88"/>
        <v>0</v>
      </c>
      <c r="P133" s="79">
        <f t="shared" si="89"/>
        <v>0</v>
      </c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 t="s">
        <v>146</v>
      </c>
      <c r="B134" s="16" t="s">
        <v>139</v>
      </c>
      <c r="C134" s="76">
        <v>2.0</v>
      </c>
      <c r="D134" s="77">
        <f>N3</f>
        <v>35</v>
      </c>
      <c r="E134" s="78">
        <f t="shared" si="79"/>
        <v>70</v>
      </c>
      <c r="F134" s="72"/>
      <c r="G134" s="79">
        <f t="shared" si="80"/>
        <v>0</v>
      </c>
      <c r="H134" s="79">
        <f t="shared" si="81"/>
        <v>0</v>
      </c>
      <c r="I134" s="79">
        <f t="shared" si="82"/>
        <v>0</v>
      </c>
      <c r="J134" s="79">
        <f t="shared" si="83"/>
        <v>0</v>
      </c>
      <c r="K134" s="79">
        <f t="shared" si="84"/>
        <v>0</v>
      </c>
      <c r="L134" s="79">
        <f t="shared" si="85"/>
        <v>0</v>
      </c>
      <c r="M134" s="80">
        <f t="shared" si="86"/>
        <v>70</v>
      </c>
      <c r="N134" s="79">
        <f t="shared" si="87"/>
        <v>0</v>
      </c>
      <c r="O134" s="79">
        <f t="shared" si="88"/>
        <v>0</v>
      </c>
      <c r="P134" s="79">
        <f t="shared" si="89"/>
        <v>0</v>
      </c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16" t="s">
        <v>139</v>
      </c>
      <c r="C135" s="76"/>
      <c r="D135" s="77"/>
      <c r="E135" s="78">
        <f t="shared" si="79"/>
        <v>0</v>
      </c>
      <c r="F135" s="72"/>
      <c r="G135" s="79">
        <f t="shared" si="80"/>
        <v>0</v>
      </c>
      <c r="H135" s="79">
        <f t="shared" si="81"/>
        <v>0</v>
      </c>
      <c r="I135" s="79">
        <f t="shared" si="82"/>
        <v>0</v>
      </c>
      <c r="J135" s="79">
        <f t="shared" si="83"/>
        <v>0</v>
      </c>
      <c r="K135" s="79">
        <f t="shared" si="84"/>
        <v>0</v>
      </c>
      <c r="L135" s="79">
        <f t="shared" si="85"/>
        <v>0</v>
      </c>
      <c r="M135" s="80">
        <f t="shared" si="86"/>
        <v>0</v>
      </c>
      <c r="N135" s="79">
        <f t="shared" si="87"/>
        <v>0</v>
      </c>
      <c r="O135" s="79">
        <f t="shared" si="88"/>
        <v>0</v>
      </c>
      <c r="P135" s="79">
        <f t="shared" si="89"/>
        <v>0</v>
      </c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16" t="s">
        <v>143</v>
      </c>
      <c r="C136" s="76"/>
      <c r="D136" s="77"/>
      <c r="E136" s="78">
        <f t="shared" si="79"/>
        <v>0</v>
      </c>
      <c r="F136" s="72"/>
      <c r="G136" s="79">
        <f t="shared" si="80"/>
        <v>0</v>
      </c>
      <c r="H136" s="79">
        <f t="shared" si="81"/>
        <v>0</v>
      </c>
      <c r="I136" s="79">
        <f t="shared" si="82"/>
        <v>0</v>
      </c>
      <c r="J136" s="79">
        <f t="shared" si="83"/>
        <v>0</v>
      </c>
      <c r="K136" s="79">
        <f t="shared" si="84"/>
        <v>0</v>
      </c>
      <c r="L136" s="79">
        <f t="shared" si="85"/>
        <v>0</v>
      </c>
      <c r="M136" s="80">
        <f t="shared" si="86"/>
        <v>0</v>
      </c>
      <c r="N136" s="79">
        <f t="shared" si="87"/>
        <v>0</v>
      </c>
      <c r="O136" s="79">
        <f t="shared" si="88"/>
        <v>0</v>
      </c>
      <c r="P136" s="79">
        <f t="shared" si="89"/>
        <v>0</v>
      </c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16" t="s">
        <v>143</v>
      </c>
      <c r="C137" s="76"/>
      <c r="D137" s="77"/>
      <c r="E137" s="78">
        <f t="shared" si="79"/>
        <v>0</v>
      </c>
      <c r="F137" s="72"/>
      <c r="G137" s="79">
        <f t="shared" si="80"/>
        <v>0</v>
      </c>
      <c r="H137" s="79">
        <f t="shared" si="81"/>
        <v>0</v>
      </c>
      <c r="I137" s="79">
        <f t="shared" si="82"/>
        <v>0</v>
      </c>
      <c r="J137" s="79">
        <f t="shared" si="83"/>
        <v>0</v>
      </c>
      <c r="K137" s="79">
        <f t="shared" si="84"/>
        <v>0</v>
      </c>
      <c r="L137" s="79">
        <f t="shared" si="85"/>
        <v>0</v>
      </c>
      <c r="M137" s="80">
        <f t="shared" si="86"/>
        <v>0</v>
      </c>
      <c r="N137" s="79">
        <f t="shared" si="87"/>
        <v>0</v>
      </c>
      <c r="O137" s="79">
        <f t="shared" si="88"/>
        <v>0</v>
      </c>
      <c r="P137" s="79">
        <f t="shared" si="89"/>
        <v>0</v>
      </c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16" t="s">
        <v>143</v>
      </c>
      <c r="C138" s="76"/>
      <c r="D138" s="77"/>
      <c r="E138" s="78">
        <f t="shared" si="79"/>
        <v>0</v>
      </c>
      <c r="F138" s="72"/>
      <c r="G138" s="79">
        <f t="shared" si="80"/>
        <v>0</v>
      </c>
      <c r="H138" s="79">
        <f t="shared" si="81"/>
        <v>0</v>
      </c>
      <c r="I138" s="79">
        <f t="shared" si="82"/>
        <v>0</v>
      </c>
      <c r="J138" s="79">
        <f t="shared" si="83"/>
        <v>0</v>
      </c>
      <c r="K138" s="79">
        <f t="shared" si="84"/>
        <v>0</v>
      </c>
      <c r="L138" s="79">
        <f t="shared" si="85"/>
        <v>0</v>
      </c>
      <c r="M138" s="80">
        <f t="shared" si="86"/>
        <v>0</v>
      </c>
      <c r="N138" s="79">
        <f t="shared" si="87"/>
        <v>0</v>
      </c>
      <c r="O138" s="79">
        <f t="shared" si="88"/>
        <v>0</v>
      </c>
      <c r="P138" s="79">
        <f t="shared" si="89"/>
        <v>0</v>
      </c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62"/>
      <c r="B139" s="16"/>
      <c r="C139" s="62"/>
      <c r="D139" s="16"/>
      <c r="E139" s="16"/>
      <c r="F139" s="72"/>
      <c r="G139" s="73">
        <f t="shared" ref="G139:P139" si="90">SUM(G129:G138)</f>
        <v>0</v>
      </c>
      <c r="H139" s="73">
        <f t="shared" si="90"/>
        <v>182.52</v>
      </c>
      <c r="I139" s="73">
        <f t="shared" si="90"/>
        <v>0</v>
      </c>
      <c r="J139" s="73">
        <f t="shared" si="90"/>
        <v>47.1636</v>
      </c>
      <c r="K139" s="73">
        <f t="shared" si="90"/>
        <v>0</v>
      </c>
      <c r="L139" s="73">
        <f t="shared" si="90"/>
        <v>0</v>
      </c>
      <c r="M139" s="73">
        <f t="shared" si="90"/>
        <v>443.2</v>
      </c>
      <c r="N139" s="73">
        <f t="shared" si="90"/>
        <v>0</v>
      </c>
      <c r="O139" s="73">
        <f t="shared" si="90"/>
        <v>0</v>
      </c>
      <c r="P139" s="73">
        <f t="shared" si="90"/>
        <v>0</v>
      </c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16"/>
      <c r="C140" s="16"/>
      <c r="D140" s="16"/>
      <c r="E140" s="16"/>
      <c r="F140" s="72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62" t="s">
        <v>174</v>
      </c>
      <c r="B142" s="16"/>
      <c r="C142" s="76"/>
      <c r="D142" s="77"/>
      <c r="E142" s="78">
        <f t="shared" ref="E142:E159" si="91">C142*D142</f>
        <v>0</v>
      </c>
      <c r="F142" s="72">
        <f>SUM(G143:M159)*$F$25</f>
        <v>6068.042736</v>
      </c>
      <c r="G142" s="79">
        <f t="shared" ref="G142:G159" si="92">IF(B142="metalas",E142*$G$26,0)</f>
        <v>0</v>
      </c>
      <c r="H142" s="79">
        <f t="shared" ref="H142:H159" si="93">IF(B142="LMDP",E142*$H$26,0)</f>
        <v>0</v>
      </c>
      <c r="I142" s="79">
        <f t="shared" ref="I142:I159" si="94">IF(B142="paslauga",E142*$I$26,0)</f>
        <v>0</v>
      </c>
      <c r="J142" s="79">
        <f t="shared" ref="J142:J159" si="95">IF(B142="masyvas",E142*$J$26,0)</f>
        <v>0</v>
      </c>
      <c r="K142" s="79">
        <f t="shared" ref="K142:K159" si="96">IF(B142="furnitura",E142*$K$26,0)</f>
        <v>0</v>
      </c>
      <c r="L142" s="79">
        <f t="shared" ref="L142:L159" si="97">IF(B142="stiklas",E142*$L$26,0)</f>
        <v>0</v>
      </c>
      <c r="M142" s="80">
        <f t="shared" ref="M142:M159" si="98">IF(B142="be kofo",E142*$M$26,0)</f>
        <v>0</v>
      </c>
      <c r="N142" s="79">
        <f t="shared" ref="N142:N159" si="99">IF(G142="paslauga",J142*$I$26,0)</f>
        <v>0</v>
      </c>
      <c r="O142" s="79">
        <f t="shared" ref="O142:O159" si="100">IF(G142="masyvas",J142*$J$26,0)</f>
        <v>0</v>
      </c>
      <c r="P142" s="79">
        <f t="shared" ref="P142:P159" si="101">IF(G142="furnitura",J142*$K$26,0)</f>
        <v>0</v>
      </c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 t="s">
        <v>132</v>
      </c>
      <c r="B143" s="16" t="s">
        <v>121</v>
      </c>
      <c r="C143" s="76">
        <f>C144+C145+C146</f>
        <v>33.2796</v>
      </c>
      <c r="D143" s="81">
        <f>N2</f>
        <v>15</v>
      </c>
      <c r="E143" s="78">
        <f t="shared" si="91"/>
        <v>499.194</v>
      </c>
      <c r="F143" s="72"/>
      <c r="G143" s="79">
        <f t="shared" si="92"/>
        <v>0</v>
      </c>
      <c r="H143" s="79">
        <f t="shared" si="93"/>
        <v>1497.582</v>
      </c>
      <c r="I143" s="79">
        <f t="shared" si="94"/>
        <v>0</v>
      </c>
      <c r="J143" s="79">
        <f t="shared" si="95"/>
        <v>0</v>
      </c>
      <c r="K143" s="79">
        <f t="shared" si="96"/>
        <v>0</v>
      </c>
      <c r="L143" s="79">
        <f t="shared" si="97"/>
        <v>0</v>
      </c>
      <c r="M143" s="80">
        <f t="shared" si="98"/>
        <v>0</v>
      </c>
      <c r="N143" s="79">
        <f t="shared" si="99"/>
        <v>0</v>
      </c>
      <c r="O143" s="79">
        <f t="shared" si="100"/>
        <v>0</v>
      </c>
      <c r="P143" s="79">
        <f t="shared" si="101"/>
        <v>0</v>
      </c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 t="s">
        <v>152</v>
      </c>
      <c r="B144" s="16" t="s">
        <v>134</v>
      </c>
      <c r="C144" s="76">
        <f>3.49*0.6*3+1.395*0.6*4+1.395*0.6*4+2.92*1.395*2+0.7*0.42</f>
        <v>21.4188</v>
      </c>
      <c r="D144" s="77">
        <f>J7</f>
        <v>18</v>
      </c>
      <c r="E144" s="78">
        <f t="shared" si="91"/>
        <v>385.5384</v>
      </c>
      <c r="F144" s="72"/>
      <c r="G144" s="79">
        <f t="shared" si="92"/>
        <v>0</v>
      </c>
      <c r="H144" s="79">
        <f t="shared" si="93"/>
        <v>0</v>
      </c>
      <c r="I144" s="79">
        <f t="shared" si="94"/>
        <v>0</v>
      </c>
      <c r="J144" s="79">
        <f t="shared" si="95"/>
        <v>424.09224</v>
      </c>
      <c r="K144" s="79">
        <f t="shared" si="96"/>
        <v>0</v>
      </c>
      <c r="L144" s="79">
        <f t="shared" si="97"/>
        <v>0</v>
      </c>
      <c r="M144" s="80">
        <f t="shared" si="98"/>
        <v>0</v>
      </c>
      <c r="N144" s="79">
        <f t="shared" si="99"/>
        <v>0</v>
      </c>
      <c r="O144" s="79">
        <f t="shared" si="100"/>
        <v>0</v>
      </c>
      <c r="P144" s="79">
        <f t="shared" si="101"/>
        <v>0</v>
      </c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 t="s">
        <v>135</v>
      </c>
      <c r="B145" s="16" t="s">
        <v>134</v>
      </c>
      <c r="C145" s="76">
        <f>2.92*1.395*2+0.7*0.42</f>
        <v>8.4408</v>
      </c>
      <c r="D145" s="77">
        <f>J11</f>
        <v>25</v>
      </c>
      <c r="E145" s="78">
        <f t="shared" si="91"/>
        <v>211.02</v>
      </c>
      <c r="F145" s="72"/>
      <c r="G145" s="79">
        <f t="shared" si="92"/>
        <v>0</v>
      </c>
      <c r="H145" s="79">
        <f t="shared" si="93"/>
        <v>0</v>
      </c>
      <c r="I145" s="79">
        <f t="shared" si="94"/>
        <v>0</v>
      </c>
      <c r="J145" s="79">
        <f t="shared" si="95"/>
        <v>232.122</v>
      </c>
      <c r="K145" s="79">
        <f t="shared" si="96"/>
        <v>0</v>
      </c>
      <c r="L145" s="79">
        <f t="shared" si="97"/>
        <v>0</v>
      </c>
      <c r="M145" s="80">
        <f t="shared" si="98"/>
        <v>0</v>
      </c>
      <c r="N145" s="79">
        <f t="shared" si="99"/>
        <v>0</v>
      </c>
      <c r="O145" s="79">
        <f t="shared" si="100"/>
        <v>0</v>
      </c>
      <c r="P145" s="79">
        <f t="shared" si="101"/>
        <v>0</v>
      </c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 t="s">
        <v>169</v>
      </c>
      <c r="B146" s="16" t="s">
        <v>134</v>
      </c>
      <c r="C146" s="76">
        <f>2.5*0.6*2+0.6*0.7</f>
        <v>3.42</v>
      </c>
      <c r="D146" s="77">
        <f>F16</f>
        <v>40</v>
      </c>
      <c r="E146" s="78">
        <f t="shared" si="91"/>
        <v>136.8</v>
      </c>
      <c r="F146" s="72"/>
      <c r="G146" s="79">
        <f t="shared" si="92"/>
        <v>0</v>
      </c>
      <c r="H146" s="79">
        <f t="shared" si="93"/>
        <v>0</v>
      </c>
      <c r="I146" s="79">
        <f t="shared" si="94"/>
        <v>0</v>
      </c>
      <c r="J146" s="79">
        <f t="shared" si="95"/>
        <v>150.48</v>
      </c>
      <c r="K146" s="79">
        <f t="shared" si="96"/>
        <v>0</v>
      </c>
      <c r="L146" s="79">
        <f t="shared" si="97"/>
        <v>0</v>
      </c>
      <c r="M146" s="80">
        <f t="shared" si="98"/>
        <v>0</v>
      </c>
      <c r="N146" s="79">
        <f t="shared" si="99"/>
        <v>0</v>
      </c>
      <c r="O146" s="79">
        <f t="shared" si="100"/>
        <v>0</v>
      </c>
      <c r="P146" s="79">
        <f t="shared" si="101"/>
        <v>0</v>
      </c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 t="s">
        <v>175</v>
      </c>
      <c r="B147" s="16" t="s">
        <v>139</v>
      </c>
      <c r="C147" s="76">
        <v>4.0</v>
      </c>
      <c r="D147" s="77">
        <f>N12</f>
        <v>90</v>
      </c>
      <c r="E147" s="78">
        <f t="shared" si="91"/>
        <v>360</v>
      </c>
      <c r="F147" s="72"/>
      <c r="G147" s="79">
        <f t="shared" si="92"/>
        <v>0</v>
      </c>
      <c r="H147" s="79">
        <f t="shared" si="93"/>
        <v>0</v>
      </c>
      <c r="I147" s="79">
        <f t="shared" si="94"/>
        <v>0</v>
      </c>
      <c r="J147" s="79">
        <f t="shared" si="95"/>
        <v>0</v>
      </c>
      <c r="K147" s="79">
        <f t="shared" si="96"/>
        <v>0</v>
      </c>
      <c r="L147" s="79">
        <f t="shared" si="97"/>
        <v>0</v>
      </c>
      <c r="M147" s="80">
        <f t="shared" si="98"/>
        <v>360</v>
      </c>
      <c r="N147" s="79">
        <f t="shared" si="99"/>
        <v>0</v>
      </c>
      <c r="O147" s="79">
        <f t="shared" si="100"/>
        <v>0</v>
      </c>
      <c r="P147" s="79">
        <f t="shared" si="101"/>
        <v>0</v>
      </c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 t="s">
        <v>150</v>
      </c>
      <c r="B148" s="16" t="s">
        <v>139</v>
      </c>
      <c r="C148" s="76">
        <v>4.0</v>
      </c>
      <c r="D148" s="77">
        <f>N3</f>
        <v>35</v>
      </c>
      <c r="E148" s="78">
        <f t="shared" si="91"/>
        <v>140</v>
      </c>
      <c r="F148" s="72"/>
      <c r="G148" s="79">
        <f t="shared" si="92"/>
        <v>0</v>
      </c>
      <c r="H148" s="79">
        <f t="shared" si="93"/>
        <v>0</v>
      </c>
      <c r="I148" s="79">
        <f t="shared" si="94"/>
        <v>0</v>
      </c>
      <c r="J148" s="79">
        <f t="shared" si="95"/>
        <v>0</v>
      </c>
      <c r="K148" s="79">
        <f t="shared" si="96"/>
        <v>0</v>
      </c>
      <c r="L148" s="79">
        <f t="shared" si="97"/>
        <v>0</v>
      </c>
      <c r="M148" s="80">
        <f t="shared" si="98"/>
        <v>140</v>
      </c>
      <c r="N148" s="79">
        <f t="shared" si="99"/>
        <v>0</v>
      </c>
      <c r="O148" s="79">
        <f t="shared" si="100"/>
        <v>0</v>
      </c>
      <c r="P148" s="79">
        <f t="shared" si="101"/>
        <v>0</v>
      </c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 t="s">
        <v>79</v>
      </c>
      <c r="B149" s="16" t="s">
        <v>137</v>
      </c>
      <c r="C149" s="76">
        <v>4.0</v>
      </c>
      <c r="D149" s="77">
        <f>J12</f>
        <v>15</v>
      </c>
      <c r="E149" s="78">
        <f t="shared" si="91"/>
        <v>60</v>
      </c>
      <c r="F149" s="72"/>
      <c r="G149" s="79">
        <f t="shared" si="92"/>
        <v>0</v>
      </c>
      <c r="H149" s="79">
        <f t="shared" si="93"/>
        <v>0</v>
      </c>
      <c r="I149" s="79">
        <f t="shared" si="94"/>
        <v>0</v>
      </c>
      <c r="J149" s="79">
        <f t="shared" si="95"/>
        <v>0</v>
      </c>
      <c r="K149" s="79">
        <f t="shared" si="96"/>
        <v>120</v>
      </c>
      <c r="L149" s="79">
        <f t="shared" si="97"/>
        <v>0</v>
      </c>
      <c r="M149" s="80">
        <f t="shared" si="98"/>
        <v>0</v>
      </c>
      <c r="N149" s="79">
        <f t="shared" si="99"/>
        <v>0</v>
      </c>
      <c r="O149" s="79">
        <f t="shared" si="100"/>
        <v>0</v>
      </c>
      <c r="P149" s="79">
        <f t="shared" si="101"/>
        <v>0</v>
      </c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 t="s">
        <v>141</v>
      </c>
      <c r="B150" s="16" t="s">
        <v>139</v>
      </c>
      <c r="C150" s="76">
        <v>4.0</v>
      </c>
      <c r="D150" s="77">
        <f>N8</f>
        <v>10</v>
      </c>
      <c r="E150" s="78">
        <f t="shared" si="91"/>
        <v>40</v>
      </c>
      <c r="F150" s="72"/>
      <c r="G150" s="79">
        <f t="shared" si="92"/>
        <v>0</v>
      </c>
      <c r="H150" s="79">
        <f t="shared" si="93"/>
        <v>0</v>
      </c>
      <c r="I150" s="79">
        <f t="shared" si="94"/>
        <v>0</v>
      </c>
      <c r="J150" s="79">
        <f t="shared" si="95"/>
        <v>0</v>
      </c>
      <c r="K150" s="79">
        <f t="shared" si="96"/>
        <v>0</v>
      </c>
      <c r="L150" s="79">
        <f t="shared" si="97"/>
        <v>0</v>
      </c>
      <c r="M150" s="80">
        <f t="shared" si="98"/>
        <v>40</v>
      </c>
      <c r="N150" s="79">
        <f t="shared" si="99"/>
        <v>0</v>
      </c>
      <c r="O150" s="79">
        <f t="shared" si="100"/>
        <v>0</v>
      </c>
      <c r="P150" s="79">
        <f t="shared" si="101"/>
        <v>0</v>
      </c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 t="s">
        <v>136</v>
      </c>
      <c r="B151" s="16" t="s">
        <v>137</v>
      </c>
      <c r="C151" s="76">
        <f>6*4+6*2</f>
        <v>36</v>
      </c>
      <c r="D151" s="77">
        <f t="shared" ref="D151:D153" si="102">J8</f>
        <v>6</v>
      </c>
      <c r="E151" s="78">
        <f t="shared" si="91"/>
        <v>216</v>
      </c>
      <c r="F151" s="72"/>
      <c r="G151" s="79">
        <f t="shared" si="92"/>
        <v>0</v>
      </c>
      <c r="H151" s="79">
        <f t="shared" si="93"/>
        <v>0</v>
      </c>
      <c r="I151" s="79">
        <f t="shared" si="94"/>
        <v>0</v>
      </c>
      <c r="J151" s="79">
        <f t="shared" si="95"/>
        <v>0</v>
      </c>
      <c r="K151" s="79">
        <f t="shared" si="96"/>
        <v>432</v>
      </c>
      <c r="L151" s="79">
        <f t="shared" si="97"/>
        <v>0</v>
      </c>
      <c r="M151" s="80">
        <f t="shared" si="98"/>
        <v>0</v>
      </c>
      <c r="N151" s="79">
        <f t="shared" si="99"/>
        <v>0</v>
      </c>
      <c r="O151" s="79">
        <f t="shared" si="100"/>
        <v>0</v>
      </c>
      <c r="P151" s="79">
        <f t="shared" si="101"/>
        <v>0</v>
      </c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 t="s">
        <v>159</v>
      </c>
      <c r="B152" s="16" t="s">
        <v>137</v>
      </c>
      <c r="C152" s="76">
        <v>6.0</v>
      </c>
      <c r="D152" s="77">
        <f t="shared" si="102"/>
        <v>6</v>
      </c>
      <c r="E152" s="78">
        <f t="shared" si="91"/>
        <v>36</v>
      </c>
      <c r="F152" s="72"/>
      <c r="G152" s="79">
        <f t="shared" si="92"/>
        <v>0</v>
      </c>
      <c r="H152" s="79">
        <f t="shared" si="93"/>
        <v>0</v>
      </c>
      <c r="I152" s="79">
        <f t="shared" si="94"/>
        <v>0</v>
      </c>
      <c r="J152" s="79">
        <f t="shared" si="95"/>
        <v>0</v>
      </c>
      <c r="K152" s="79">
        <f t="shared" si="96"/>
        <v>72</v>
      </c>
      <c r="L152" s="79">
        <f t="shared" si="97"/>
        <v>0</v>
      </c>
      <c r="M152" s="80">
        <f t="shared" si="98"/>
        <v>0</v>
      </c>
      <c r="N152" s="79">
        <f t="shared" si="99"/>
        <v>0</v>
      </c>
      <c r="O152" s="79">
        <f t="shared" si="100"/>
        <v>0</v>
      </c>
      <c r="P152" s="79">
        <f t="shared" si="101"/>
        <v>0</v>
      </c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 t="s">
        <v>176</v>
      </c>
      <c r="B153" s="16" t="s">
        <v>137</v>
      </c>
      <c r="C153" s="76">
        <v>6.0</v>
      </c>
      <c r="D153" s="77">
        <f t="shared" si="102"/>
        <v>25</v>
      </c>
      <c r="E153" s="78">
        <f t="shared" si="91"/>
        <v>150</v>
      </c>
      <c r="F153" s="72"/>
      <c r="G153" s="79">
        <f t="shared" si="92"/>
        <v>0</v>
      </c>
      <c r="H153" s="79">
        <f t="shared" si="93"/>
        <v>0</v>
      </c>
      <c r="I153" s="79">
        <f t="shared" si="94"/>
        <v>0</v>
      </c>
      <c r="J153" s="79">
        <f t="shared" si="95"/>
        <v>0</v>
      </c>
      <c r="K153" s="79">
        <f t="shared" si="96"/>
        <v>300</v>
      </c>
      <c r="L153" s="79">
        <f t="shared" si="97"/>
        <v>0</v>
      </c>
      <c r="M153" s="80">
        <f t="shared" si="98"/>
        <v>0</v>
      </c>
      <c r="N153" s="79">
        <f t="shared" si="99"/>
        <v>0</v>
      </c>
      <c r="O153" s="79">
        <f t="shared" si="100"/>
        <v>0</v>
      </c>
      <c r="P153" s="79">
        <f t="shared" si="101"/>
        <v>0</v>
      </c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 t="s">
        <v>59</v>
      </c>
      <c r="B154" s="16" t="s">
        <v>139</v>
      </c>
      <c r="C154" s="76">
        <f>C151+C152+C153</f>
        <v>48</v>
      </c>
      <c r="D154" s="77">
        <f>N7</f>
        <v>3</v>
      </c>
      <c r="E154" s="78">
        <f t="shared" si="91"/>
        <v>144</v>
      </c>
      <c r="F154" s="72"/>
      <c r="G154" s="79">
        <f t="shared" si="92"/>
        <v>0</v>
      </c>
      <c r="H154" s="79">
        <f t="shared" si="93"/>
        <v>0</v>
      </c>
      <c r="I154" s="79">
        <f t="shared" si="94"/>
        <v>0</v>
      </c>
      <c r="J154" s="79">
        <f t="shared" si="95"/>
        <v>0</v>
      </c>
      <c r="K154" s="79">
        <f t="shared" si="96"/>
        <v>0</v>
      </c>
      <c r="L154" s="79">
        <f t="shared" si="97"/>
        <v>0</v>
      </c>
      <c r="M154" s="80">
        <f t="shared" si="98"/>
        <v>144</v>
      </c>
      <c r="N154" s="79">
        <f t="shared" si="99"/>
        <v>0</v>
      </c>
      <c r="O154" s="79">
        <f t="shared" si="100"/>
        <v>0</v>
      </c>
      <c r="P154" s="79">
        <f t="shared" si="101"/>
        <v>0</v>
      </c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 t="s">
        <v>103</v>
      </c>
      <c r="B155" s="16" t="s">
        <v>139</v>
      </c>
      <c r="C155" s="76">
        <f>C145</f>
        <v>8.4408</v>
      </c>
      <c r="D155" s="77">
        <f>B19</f>
        <v>20</v>
      </c>
      <c r="E155" s="78">
        <f t="shared" si="91"/>
        <v>168.816</v>
      </c>
      <c r="F155" s="72"/>
      <c r="G155" s="79">
        <f t="shared" si="92"/>
        <v>0</v>
      </c>
      <c r="H155" s="79">
        <f t="shared" si="93"/>
        <v>0</v>
      </c>
      <c r="I155" s="79">
        <f t="shared" si="94"/>
        <v>0</v>
      </c>
      <c r="J155" s="79">
        <f t="shared" si="95"/>
        <v>0</v>
      </c>
      <c r="K155" s="79">
        <f t="shared" si="96"/>
        <v>0</v>
      </c>
      <c r="L155" s="79">
        <f t="shared" si="97"/>
        <v>0</v>
      </c>
      <c r="M155" s="80">
        <f t="shared" si="98"/>
        <v>168.816</v>
      </c>
      <c r="N155" s="79">
        <f t="shared" si="99"/>
        <v>0</v>
      </c>
      <c r="O155" s="79">
        <f t="shared" si="100"/>
        <v>0</v>
      </c>
      <c r="P155" s="79">
        <f t="shared" si="101"/>
        <v>0</v>
      </c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 t="s">
        <v>93</v>
      </c>
      <c r="B156" s="16" t="s">
        <v>139</v>
      </c>
      <c r="C156" s="76">
        <f>C145</f>
        <v>8.4408</v>
      </c>
      <c r="D156" s="77">
        <f>B16</f>
        <v>30</v>
      </c>
      <c r="E156" s="78">
        <f t="shared" si="91"/>
        <v>253.224</v>
      </c>
      <c r="F156" s="72"/>
      <c r="G156" s="79">
        <f t="shared" si="92"/>
        <v>0</v>
      </c>
      <c r="H156" s="79">
        <f t="shared" si="93"/>
        <v>0</v>
      </c>
      <c r="I156" s="79">
        <f t="shared" si="94"/>
        <v>0</v>
      </c>
      <c r="J156" s="79">
        <f t="shared" si="95"/>
        <v>0</v>
      </c>
      <c r="K156" s="79">
        <f t="shared" si="96"/>
        <v>0</v>
      </c>
      <c r="L156" s="79">
        <f t="shared" si="97"/>
        <v>0</v>
      </c>
      <c r="M156" s="80">
        <f t="shared" si="98"/>
        <v>253.224</v>
      </c>
      <c r="N156" s="79">
        <f t="shared" si="99"/>
        <v>0</v>
      </c>
      <c r="O156" s="79">
        <f t="shared" si="100"/>
        <v>0</v>
      </c>
      <c r="P156" s="79">
        <f t="shared" si="101"/>
        <v>0</v>
      </c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16" t="s">
        <v>143</v>
      </c>
      <c r="C157" s="76"/>
      <c r="D157" s="77"/>
      <c r="E157" s="78">
        <f t="shared" si="91"/>
        <v>0</v>
      </c>
      <c r="F157" s="72"/>
      <c r="G157" s="79">
        <f t="shared" si="92"/>
        <v>0</v>
      </c>
      <c r="H157" s="79">
        <f t="shared" si="93"/>
        <v>0</v>
      </c>
      <c r="I157" s="79">
        <f t="shared" si="94"/>
        <v>0</v>
      </c>
      <c r="J157" s="79">
        <f t="shared" si="95"/>
        <v>0</v>
      </c>
      <c r="K157" s="79">
        <f t="shared" si="96"/>
        <v>0</v>
      </c>
      <c r="L157" s="79">
        <f t="shared" si="97"/>
        <v>0</v>
      </c>
      <c r="M157" s="80">
        <f t="shared" si="98"/>
        <v>0</v>
      </c>
      <c r="N157" s="79">
        <f t="shared" si="99"/>
        <v>0</v>
      </c>
      <c r="O157" s="79">
        <f t="shared" si="100"/>
        <v>0</v>
      </c>
      <c r="P157" s="79">
        <f t="shared" si="101"/>
        <v>0</v>
      </c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16" t="s">
        <v>143</v>
      </c>
      <c r="C158" s="76"/>
      <c r="D158" s="77"/>
      <c r="E158" s="78">
        <f t="shared" si="91"/>
        <v>0</v>
      </c>
      <c r="F158" s="72"/>
      <c r="G158" s="79">
        <f t="shared" si="92"/>
        <v>0</v>
      </c>
      <c r="H158" s="79">
        <f t="shared" si="93"/>
        <v>0</v>
      </c>
      <c r="I158" s="79">
        <f t="shared" si="94"/>
        <v>0</v>
      </c>
      <c r="J158" s="79">
        <f t="shared" si="95"/>
        <v>0</v>
      </c>
      <c r="K158" s="79">
        <f t="shared" si="96"/>
        <v>0</v>
      </c>
      <c r="L158" s="79">
        <f t="shared" si="97"/>
        <v>0</v>
      </c>
      <c r="M158" s="80">
        <f t="shared" si="98"/>
        <v>0</v>
      </c>
      <c r="N158" s="79">
        <f t="shared" si="99"/>
        <v>0</v>
      </c>
      <c r="O158" s="79">
        <f t="shared" si="100"/>
        <v>0</v>
      </c>
      <c r="P158" s="79">
        <f t="shared" si="101"/>
        <v>0</v>
      </c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16" t="s">
        <v>143</v>
      </c>
      <c r="C159" s="76"/>
      <c r="D159" s="77"/>
      <c r="E159" s="78">
        <f t="shared" si="91"/>
        <v>0</v>
      </c>
      <c r="F159" s="72"/>
      <c r="G159" s="79">
        <f t="shared" si="92"/>
        <v>0</v>
      </c>
      <c r="H159" s="79">
        <f t="shared" si="93"/>
        <v>0</v>
      </c>
      <c r="I159" s="79">
        <f t="shared" si="94"/>
        <v>0</v>
      </c>
      <c r="J159" s="79">
        <f t="shared" si="95"/>
        <v>0</v>
      </c>
      <c r="K159" s="79">
        <f t="shared" si="96"/>
        <v>0</v>
      </c>
      <c r="L159" s="79">
        <f t="shared" si="97"/>
        <v>0</v>
      </c>
      <c r="M159" s="80">
        <f t="shared" si="98"/>
        <v>0</v>
      </c>
      <c r="N159" s="79">
        <f t="shared" si="99"/>
        <v>0</v>
      </c>
      <c r="O159" s="79">
        <f t="shared" si="100"/>
        <v>0</v>
      </c>
      <c r="P159" s="79">
        <f t="shared" si="101"/>
        <v>0</v>
      </c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62"/>
      <c r="B160" s="16"/>
      <c r="C160" s="62"/>
      <c r="D160" s="16"/>
      <c r="E160" s="16"/>
      <c r="F160" s="72"/>
      <c r="G160" s="73">
        <f t="shared" ref="G160:P160" si="103">SUM(G142:G159)</f>
        <v>0</v>
      </c>
      <c r="H160" s="73">
        <f t="shared" si="103"/>
        <v>1497.582</v>
      </c>
      <c r="I160" s="73">
        <f t="shared" si="103"/>
        <v>0</v>
      </c>
      <c r="J160" s="73">
        <f t="shared" si="103"/>
        <v>806.69424</v>
      </c>
      <c r="K160" s="73">
        <f t="shared" si="103"/>
        <v>924</v>
      </c>
      <c r="L160" s="73">
        <f t="shared" si="103"/>
        <v>0</v>
      </c>
      <c r="M160" s="73">
        <f t="shared" si="103"/>
        <v>1106.04</v>
      </c>
      <c r="N160" s="73">
        <f t="shared" si="103"/>
        <v>0</v>
      </c>
      <c r="O160" s="73">
        <f t="shared" si="103"/>
        <v>0</v>
      </c>
      <c r="P160" s="73">
        <f t="shared" si="103"/>
        <v>0</v>
      </c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91" t="s">
        <v>177</v>
      </c>
      <c r="B163" s="16"/>
      <c r="C163" s="76"/>
      <c r="D163" s="77"/>
      <c r="E163" s="78">
        <f t="shared" ref="E163:E171" si="104">C163*D163</f>
        <v>0</v>
      </c>
      <c r="F163" s="72">
        <f>SUM(G164:M171)*$F$25</f>
        <v>0</v>
      </c>
      <c r="G163" s="79">
        <f t="shared" ref="G163:G171" si="105">IF(B163="metalas",E163*$G$26,0)</f>
        <v>0</v>
      </c>
      <c r="H163" s="79">
        <f t="shared" ref="H163:H171" si="106">IF(B163="LMDP",E163*$H$26,0)</f>
        <v>0</v>
      </c>
      <c r="I163" s="79">
        <f t="shared" ref="I163:I171" si="107">IF(B163="paslauga",E163*$I$26,0)</f>
        <v>0</v>
      </c>
      <c r="J163" s="79">
        <f t="shared" ref="J163:J171" si="108">IF(B163="masyvas",E163*$J$26,0)</f>
        <v>0</v>
      </c>
      <c r="K163" s="79">
        <f t="shared" ref="K163:K171" si="109">IF(B163="furnitura",E163*$K$26,0)</f>
        <v>0</v>
      </c>
      <c r="L163" s="79">
        <f t="shared" ref="L163:L171" si="110">IF(B163="stiklas",E163*$L$26,0)</f>
        <v>0</v>
      </c>
      <c r="M163" s="80">
        <f t="shared" ref="M163:M171" si="111">IF(B163="be kofo",E163*$M$26,0)</f>
        <v>0</v>
      </c>
      <c r="N163" s="79">
        <f t="shared" ref="N163:N171" si="112">IF(G163="paslauga",J163*$I$26,0)</f>
        <v>0</v>
      </c>
      <c r="O163" s="79">
        <f t="shared" ref="O163:O171" si="113">IF(G163="masyvas",J163*$J$26,0)</f>
        <v>0</v>
      </c>
      <c r="P163" s="79">
        <f t="shared" ref="P163:P171" si="114">IF(G163="furnitura",J163*$K$26,0)</f>
        <v>0</v>
      </c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16" t="s">
        <v>121</v>
      </c>
      <c r="C164" s="76"/>
      <c r="D164" s="81"/>
      <c r="E164" s="78">
        <f t="shared" si="104"/>
        <v>0</v>
      </c>
      <c r="F164" s="72"/>
      <c r="G164" s="79">
        <f t="shared" si="105"/>
        <v>0</v>
      </c>
      <c r="H164" s="79">
        <f t="shared" si="106"/>
        <v>0</v>
      </c>
      <c r="I164" s="79">
        <f t="shared" si="107"/>
        <v>0</v>
      </c>
      <c r="J164" s="79">
        <f t="shared" si="108"/>
        <v>0</v>
      </c>
      <c r="K164" s="79">
        <f t="shared" si="109"/>
        <v>0</v>
      </c>
      <c r="L164" s="79">
        <f t="shared" si="110"/>
        <v>0</v>
      </c>
      <c r="M164" s="80">
        <f t="shared" si="111"/>
        <v>0</v>
      </c>
      <c r="N164" s="79">
        <f t="shared" si="112"/>
        <v>0</v>
      </c>
      <c r="O164" s="79">
        <f t="shared" si="113"/>
        <v>0</v>
      </c>
      <c r="P164" s="79">
        <f t="shared" si="114"/>
        <v>0</v>
      </c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16" t="s">
        <v>134</v>
      </c>
      <c r="C165" s="76"/>
      <c r="D165" s="77"/>
      <c r="E165" s="78">
        <f t="shared" si="104"/>
        <v>0</v>
      </c>
      <c r="F165" s="72"/>
      <c r="G165" s="79">
        <f t="shared" si="105"/>
        <v>0</v>
      </c>
      <c r="H165" s="79">
        <f t="shared" si="106"/>
        <v>0</v>
      </c>
      <c r="I165" s="79">
        <f t="shared" si="107"/>
        <v>0</v>
      </c>
      <c r="J165" s="79">
        <f t="shared" si="108"/>
        <v>0</v>
      </c>
      <c r="K165" s="79">
        <f t="shared" si="109"/>
        <v>0</v>
      </c>
      <c r="L165" s="79">
        <f t="shared" si="110"/>
        <v>0</v>
      </c>
      <c r="M165" s="80">
        <f t="shared" si="111"/>
        <v>0</v>
      </c>
      <c r="N165" s="79">
        <f t="shared" si="112"/>
        <v>0</v>
      </c>
      <c r="O165" s="79">
        <f t="shared" si="113"/>
        <v>0</v>
      </c>
      <c r="P165" s="79">
        <f t="shared" si="114"/>
        <v>0</v>
      </c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16" t="s">
        <v>139</v>
      </c>
      <c r="C166" s="76"/>
      <c r="D166" s="77"/>
      <c r="E166" s="78">
        <f t="shared" si="104"/>
        <v>0</v>
      </c>
      <c r="F166" s="72"/>
      <c r="G166" s="79">
        <f t="shared" si="105"/>
        <v>0</v>
      </c>
      <c r="H166" s="79">
        <f t="shared" si="106"/>
        <v>0</v>
      </c>
      <c r="I166" s="79">
        <f t="shared" si="107"/>
        <v>0</v>
      </c>
      <c r="J166" s="79">
        <f t="shared" si="108"/>
        <v>0</v>
      </c>
      <c r="K166" s="79">
        <f t="shared" si="109"/>
        <v>0</v>
      </c>
      <c r="L166" s="79">
        <f t="shared" si="110"/>
        <v>0</v>
      </c>
      <c r="M166" s="80">
        <f t="shared" si="111"/>
        <v>0</v>
      </c>
      <c r="N166" s="79">
        <f t="shared" si="112"/>
        <v>0</v>
      </c>
      <c r="O166" s="79">
        <f t="shared" si="113"/>
        <v>0</v>
      </c>
      <c r="P166" s="79">
        <f t="shared" si="114"/>
        <v>0</v>
      </c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16" t="s">
        <v>139</v>
      </c>
      <c r="C167" s="76"/>
      <c r="D167" s="77"/>
      <c r="E167" s="78">
        <f t="shared" si="104"/>
        <v>0</v>
      </c>
      <c r="F167" s="72"/>
      <c r="G167" s="79">
        <f t="shared" si="105"/>
        <v>0</v>
      </c>
      <c r="H167" s="79">
        <f t="shared" si="106"/>
        <v>0</v>
      </c>
      <c r="I167" s="79">
        <f t="shared" si="107"/>
        <v>0</v>
      </c>
      <c r="J167" s="79">
        <f t="shared" si="108"/>
        <v>0</v>
      </c>
      <c r="K167" s="79">
        <f t="shared" si="109"/>
        <v>0</v>
      </c>
      <c r="L167" s="79">
        <f t="shared" si="110"/>
        <v>0</v>
      </c>
      <c r="M167" s="80">
        <f t="shared" si="111"/>
        <v>0</v>
      </c>
      <c r="N167" s="79">
        <f t="shared" si="112"/>
        <v>0</v>
      </c>
      <c r="O167" s="79">
        <f t="shared" si="113"/>
        <v>0</v>
      </c>
      <c r="P167" s="79">
        <f t="shared" si="114"/>
        <v>0</v>
      </c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16" t="s">
        <v>143</v>
      </c>
      <c r="C168" s="76"/>
      <c r="D168" s="77"/>
      <c r="E168" s="78">
        <f t="shared" si="104"/>
        <v>0</v>
      </c>
      <c r="F168" s="72"/>
      <c r="G168" s="79">
        <f t="shared" si="105"/>
        <v>0</v>
      </c>
      <c r="H168" s="79">
        <f t="shared" si="106"/>
        <v>0</v>
      </c>
      <c r="I168" s="79">
        <f t="shared" si="107"/>
        <v>0</v>
      </c>
      <c r="J168" s="79">
        <f t="shared" si="108"/>
        <v>0</v>
      </c>
      <c r="K168" s="79">
        <f t="shared" si="109"/>
        <v>0</v>
      </c>
      <c r="L168" s="79">
        <f t="shared" si="110"/>
        <v>0</v>
      </c>
      <c r="M168" s="80">
        <f t="shared" si="111"/>
        <v>0</v>
      </c>
      <c r="N168" s="79">
        <f t="shared" si="112"/>
        <v>0</v>
      </c>
      <c r="O168" s="79">
        <f t="shared" si="113"/>
        <v>0</v>
      </c>
      <c r="P168" s="79">
        <f t="shared" si="114"/>
        <v>0</v>
      </c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16" t="s">
        <v>143</v>
      </c>
      <c r="C169" s="76"/>
      <c r="D169" s="77"/>
      <c r="E169" s="78">
        <f t="shared" si="104"/>
        <v>0</v>
      </c>
      <c r="F169" s="72"/>
      <c r="G169" s="79">
        <f t="shared" si="105"/>
        <v>0</v>
      </c>
      <c r="H169" s="79">
        <f t="shared" si="106"/>
        <v>0</v>
      </c>
      <c r="I169" s="79">
        <f t="shared" si="107"/>
        <v>0</v>
      </c>
      <c r="J169" s="79">
        <f t="shared" si="108"/>
        <v>0</v>
      </c>
      <c r="K169" s="79">
        <f t="shared" si="109"/>
        <v>0</v>
      </c>
      <c r="L169" s="79">
        <f t="shared" si="110"/>
        <v>0</v>
      </c>
      <c r="M169" s="80">
        <f t="shared" si="111"/>
        <v>0</v>
      </c>
      <c r="N169" s="79">
        <f t="shared" si="112"/>
        <v>0</v>
      </c>
      <c r="O169" s="79">
        <f t="shared" si="113"/>
        <v>0</v>
      </c>
      <c r="P169" s="79">
        <f t="shared" si="114"/>
        <v>0</v>
      </c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16" t="s">
        <v>143</v>
      </c>
      <c r="C170" s="76"/>
      <c r="D170" s="77"/>
      <c r="E170" s="78">
        <f t="shared" si="104"/>
        <v>0</v>
      </c>
      <c r="F170" s="72"/>
      <c r="G170" s="79">
        <f t="shared" si="105"/>
        <v>0</v>
      </c>
      <c r="H170" s="79">
        <f t="shared" si="106"/>
        <v>0</v>
      </c>
      <c r="I170" s="79">
        <f t="shared" si="107"/>
        <v>0</v>
      </c>
      <c r="J170" s="79">
        <f t="shared" si="108"/>
        <v>0</v>
      </c>
      <c r="K170" s="79">
        <f t="shared" si="109"/>
        <v>0</v>
      </c>
      <c r="L170" s="79">
        <f t="shared" si="110"/>
        <v>0</v>
      </c>
      <c r="M170" s="80">
        <f t="shared" si="111"/>
        <v>0</v>
      </c>
      <c r="N170" s="79">
        <f t="shared" si="112"/>
        <v>0</v>
      </c>
      <c r="O170" s="79">
        <f t="shared" si="113"/>
        <v>0</v>
      </c>
      <c r="P170" s="79">
        <f t="shared" si="114"/>
        <v>0</v>
      </c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16" t="s">
        <v>143</v>
      </c>
      <c r="C171" s="76"/>
      <c r="D171" s="77"/>
      <c r="E171" s="78">
        <f t="shared" si="104"/>
        <v>0</v>
      </c>
      <c r="F171" s="72"/>
      <c r="G171" s="79">
        <f t="shared" si="105"/>
        <v>0</v>
      </c>
      <c r="H171" s="79">
        <f t="shared" si="106"/>
        <v>0</v>
      </c>
      <c r="I171" s="79">
        <f t="shared" si="107"/>
        <v>0</v>
      </c>
      <c r="J171" s="79">
        <f t="shared" si="108"/>
        <v>0</v>
      </c>
      <c r="K171" s="79">
        <f t="shared" si="109"/>
        <v>0</v>
      </c>
      <c r="L171" s="79">
        <f t="shared" si="110"/>
        <v>0</v>
      </c>
      <c r="M171" s="80">
        <f t="shared" si="111"/>
        <v>0</v>
      </c>
      <c r="N171" s="79">
        <f t="shared" si="112"/>
        <v>0</v>
      </c>
      <c r="O171" s="79">
        <f t="shared" si="113"/>
        <v>0</v>
      </c>
      <c r="P171" s="79">
        <f t="shared" si="114"/>
        <v>0</v>
      </c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62"/>
      <c r="B172" s="16"/>
      <c r="C172" s="62"/>
      <c r="D172" s="16"/>
      <c r="E172" s="16"/>
      <c r="F172" s="72"/>
      <c r="G172" s="73">
        <f t="shared" ref="G172:P172" si="115">SUM(G163:G171)</f>
        <v>0</v>
      </c>
      <c r="H172" s="73">
        <f t="shared" si="115"/>
        <v>0</v>
      </c>
      <c r="I172" s="73">
        <f t="shared" si="115"/>
        <v>0</v>
      </c>
      <c r="J172" s="73">
        <f t="shared" si="115"/>
        <v>0</v>
      </c>
      <c r="K172" s="73">
        <f t="shared" si="115"/>
        <v>0</v>
      </c>
      <c r="L172" s="73">
        <f t="shared" si="115"/>
        <v>0</v>
      </c>
      <c r="M172" s="73">
        <f t="shared" si="115"/>
        <v>0</v>
      </c>
      <c r="N172" s="73">
        <f t="shared" si="115"/>
        <v>0</v>
      </c>
      <c r="O172" s="73">
        <f t="shared" si="115"/>
        <v>0</v>
      </c>
      <c r="P172" s="73">
        <f t="shared" si="115"/>
        <v>0</v>
      </c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62" t="s">
        <v>178</v>
      </c>
      <c r="B175" s="16"/>
      <c r="C175" s="76"/>
      <c r="D175" s="77"/>
      <c r="E175" s="78">
        <f t="shared" ref="E175:E185" si="116">C175*D175</f>
        <v>0</v>
      </c>
      <c r="F175" s="72">
        <f>SUM(G176:M185)*$F$25</f>
        <v>1722.21</v>
      </c>
      <c r="G175" s="79">
        <f t="shared" ref="G175:G185" si="117">IF(B175="metalas",E175*$G$26,0)</f>
        <v>0</v>
      </c>
      <c r="H175" s="79">
        <f t="shared" ref="H175:H185" si="118">IF(B175="LMDP",E175*$H$26,0)</f>
        <v>0</v>
      </c>
      <c r="I175" s="79">
        <f t="shared" ref="I175:I185" si="119">IF(B175="paslauga",E175*$I$26,0)</f>
        <v>0</v>
      </c>
      <c r="J175" s="79">
        <f t="shared" ref="J175:J185" si="120">IF(B175="masyvas",E175*$J$26,0)</f>
        <v>0</v>
      </c>
      <c r="K175" s="79">
        <f t="shared" ref="K175:K185" si="121">IF(B175="furnitura",E175*$K$26,0)</f>
        <v>0</v>
      </c>
      <c r="L175" s="79">
        <f t="shared" ref="L175:L185" si="122">IF(B175="stiklas",E175*$L$26,0)</f>
        <v>0</v>
      </c>
      <c r="M175" s="80">
        <f t="shared" ref="M175:M185" si="123">IF(B175="be kofo",E175*$M$26,0)</f>
        <v>0</v>
      </c>
      <c r="N175" s="79">
        <f t="shared" ref="N175:N185" si="124">IF(G175="paslauga",J175*$I$26,0)</f>
        <v>0</v>
      </c>
      <c r="O175" s="79">
        <f t="shared" ref="O175:O185" si="125">IF(G175="masyvas",J175*$J$26,0)</f>
        <v>0</v>
      </c>
      <c r="P175" s="79">
        <f t="shared" ref="P175:P185" si="126">IF(G175="furnitura",J175*$K$26,0)</f>
        <v>0</v>
      </c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 t="s">
        <v>132</v>
      </c>
      <c r="B176" s="16" t="s">
        <v>121</v>
      </c>
      <c r="C176" s="76">
        <f>C177+C178</f>
        <v>6.54</v>
      </c>
      <c r="D176" s="81">
        <f>N2</f>
        <v>15</v>
      </c>
      <c r="E176" s="78">
        <f t="shared" si="116"/>
        <v>98.1</v>
      </c>
      <c r="F176" s="72"/>
      <c r="G176" s="79">
        <f t="shared" si="117"/>
        <v>0</v>
      </c>
      <c r="H176" s="79">
        <f t="shared" si="118"/>
        <v>294.3</v>
      </c>
      <c r="I176" s="79">
        <f t="shared" si="119"/>
        <v>0</v>
      </c>
      <c r="J176" s="79">
        <f t="shared" si="120"/>
        <v>0</v>
      </c>
      <c r="K176" s="79">
        <f t="shared" si="121"/>
        <v>0</v>
      </c>
      <c r="L176" s="79">
        <f t="shared" si="122"/>
        <v>0</v>
      </c>
      <c r="M176" s="80">
        <f t="shared" si="123"/>
        <v>0</v>
      </c>
      <c r="N176" s="79">
        <f t="shared" si="124"/>
        <v>0</v>
      </c>
      <c r="O176" s="79">
        <f t="shared" si="125"/>
        <v>0</v>
      </c>
      <c r="P176" s="79">
        <f t="shared" si="126"/>
        <v>0</v>
      </c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 t="s">
        <v>179</v>
      </c>
      <c r="B177" s="16" t="s">
        <v>134</v>
      </c>
      <c r="C177" s="76">
        <f>0.7*0.8*3+0.9*0.6*4+0.9*0.7*2</f>
        <v>5.1</v>
      </c>
      <c r="D177" s="77">
        <f>J11</f>
        <v>25</v>
      </c>
      <c r="E177" s="78">
        <f t="shared" si="116"/>
        <v>127.5</v>
      </c>
      <c r="F177" s="72"/>
      <c r="G177" s="79">
        <f t="shared" si="117"/>
        <v>0</v>
      </c>
      <c r="H177" s="79">
        <f t="shared" si="118"/>
        <v>0</v>
      </c>
      <c r="I177" s="79">
        <f t="shared" si="119"/>
        <v>0</v>
      </c>
      <c r="J177" s="79">
        <f t="shared" si="120"/>
        <v>140.25</v>
      </c>
      <c r="K177" s="79">
        <f t="shared" si="121"/>
        <v>0</v>
      </c>
      <c r="L177" s="79">
        <f t="shared" si="122"/>
        <v>0</v>
      </c>
      <c r="M177" s="80">
        <f t="shared" si="123"/>
        <v>0</v>
      </c>
      <c r="N177" s="79">
        <f t="shared" si="124"/>
        <v>0</v>
      </c>
      <c r="O177" s="79">
        <f t="shared" si="125"/>
        <v>0</v>
      </c>
      <c r="P177" s="79">
        <f t="shared" si="126"/>
        <v>0</v>
      </c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 t="s">
        <v>180</v>
      </c>
      <c r="B178" s="16" t="s">
        <v>134</v>
      </c>
      <c r="C178" s="76">
        <f>2.4*0.6</f>
        <v>1.44</v>
      </c>
      <c r="D178" s="77">
        <f>J11</f>
        <v>25</v>
      </c>
      <c r="E178" s="78">
        <f t="shared" si="116"/>
        <v>36</v>
      </c>
      <c r="F178" s="72"/>
      <c r="G178" s="79">
        <f t="shared" si="117"/>
        <v>0</v>
      </c>
      <c r="H178" s="79">
        <f t="shared" si="118"/>
        <v>0</v>
      </c>
      <c r="I178" s="79">
        <f t="shared" si="119"/>
        <v>0</v>
      </c>
      <c r="J178" s="79">
        <f t="shared" si="120"/>
        <v>39.6</v>
      </c>
      <c r="K178" s="79">
        <f t="shared" si="121"/>
        <v>0</v>
      </c>
      <c r="L178" s="79">
        <f t="shared" si="122"/>
        <v>0</v>
      </c>
      <c r="M178" s="80">
        <f t="shared" si="123"/>
        <v>0</v>
      </c>
      <c r="N178" s="79">
        <f t="shared" si="124"/>
        <v>0</v>
      </c>
      <c r="O178" s="79">
        <f t="shared" si="125"/>
        <v>0</v>
      </c>
      <c r="P178" s="79">
        <f t="shared" si="126"/>
        <v>0</v>
      </c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 t="s">
        <v>181</v>
      </c>
      <c r="B179" s="16" t="s">
        <v>139</v>
      </c>
      <c r="C179" s="76">
        <f>0.7*0.3*4</f>
        <v>0.84</v>
      </c>
      <c r="D179" s="77">
        <f>J4</f>
        <v>350</v>
      </c>
      <c r="E179" s="78">
        <f t="shared" si="116"/>
        <v>294</v>
      </c>
      <c r="F179" s="72"/>
      <c r="G179" s="79">
        <f t="shared" si="117"/>
        <v>0</v>
      </c>
      <c r="H179" s="79">
        <f t="shared" si="118"/>
        <v>0</v>
      </c>
      <c r="I179" s="79">
        <f t="shared" si="119"/>
        <v>0</v>
      </c>
      <c r="J179" s="79">
        <f t="shared" si="120"/>
        <v>0</v>
      </c>
      <c r="K179" s="79">
        <f t="shared" si="121"/>
        <v>0</v>
      </c>
      <c r="L179" s="79">
        <f t="shared" si="122"/>
        <v>0</v>
      </c>
      <c r="M179" s="80">
        <f t="shared" si="123"/>
        <v>294</v>
      </c>
      <c r="N179" s="79">
        <f t="shared" si="124"/>
        <v>0</v>
      </c>
      <c r="O179" s="79">
        <f t="shared" si="125"/>
        <v>0</v>
      </c>
      <c r="P179" s="79">
        <f t="shared" si="126"/>
        <v>0</v>
      </c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 t="s">
        <v>136</v>
      </c>
      <c r="B180" s="16" t="s">
        <v>137</v>
      </c>
      <c r="C180" s="76">
        <v>6.0</v>
      </c>
      <c r="D180" s="77">
        <f t="shared" ref="D180:D181" si="127">J8</f>
        <v>6</v>
      </c>
      <c r="E180" s="78">
        <f t="shared" si="116"/>
        <v>36</v>
      </c>
      <c r="F180" s="72"/>
      <c r="G180" s="79">
        <f t="shared" si="117"/>
        <v>0</v>
      </c>
      <c r="H180" s="79">
        <f t="shared" si="118"/>
        <v>0</v>
      </c>
      <c r="I180" s="79">
        <f t="shared" si="119"/>
        <v>0</v>
      </c>
      <c r="J180" s="79">
        <f t="shared" si="120"/>
        <v>0</v>
      </c>
      <c r="K180" s="79">
        <f t="shared" si="121"/>
        <v>72</v>
      </c>
      <c r="L180" s="79">
        <f t="shared" si="122"/>
        <v>0</v>
      </c>
      <c r="M180" s="80">
        <f t="shared" si="123"/>
        <v>0</v>
      </c>
      <c r="N180" s="79">
        <f t="shared" si="124"/>
        <v>0</v>
      </c>
      <c r="O180" s="79">
        <f t="shared" si="125"/>
        <v>0</v>
      </c>
      <c r="P180" s="79">
        <f t="shared" si="126"/>
        <v>0</v>
      </c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 t="s">
        <v>159</v>
      </c>
      <c r="B181" s="16" t="s">
        <v>137</v>
      </c>
      <c r="C181" s="76">
        <v>3.0</v>
      </c>
      <c r="D181" s="77">
        <f t="shared" si="127"/>
        <v>6</v>
      </c>
      <c r="E181" s="78">
        <f t="shared" si="116"/>
        <v>18</v>
      </c>
      <c r="F181" s="72"/>
      <c r="G181" s="79">
        <f t="shared" si="117"/>
        <v>0</v>
      </c>
      <c r="H181" s="79">
        <f t="shared" si="118"/>
        <v>0</v>
      </c>
      <c r="I181" s="79">
        <f t="shared" si="119"/>
        <v>0</v>
      </c>
      <c r="J181" s="79">
        <f t="shared" si="120"/>
        <v>0</v>
      </c>
      <c r="K181" s="79">
        <f t="shared" si="121"/>
        <v>36</v>
      </c>
      <c r="L181" s="79">
        <f t="shared" si="122"/>
        <v>0</v>
      </c>
      <c r="M181" s="80">
        <f t="shared" si="123"/>
        <v>0</v>
      </c>
      <c r="N181" s="79">
        <f t="shared" si="124"/>
        <v>0</v>
      </c>
      <c r="O181" s="79">
        <f t="shared" si="125"/>
        <v>0</v>
      </c>
      <c r="P181" s="79">
        <f t="shared" si="126"/>
        <v>0</v>
      </c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 t="s">
        <v>59</v>
      </c>
      <c r="B182" s="16" t="s">
        <v>139</v>
      </c>
      <c r="C182" s="76">
        <v>9.0</v>
      </c>
      <c r="D182" s="77">
        <f>N7</f>
        <v>3</v>
      </c>
      <c r="E182" s="78">
        <f t="shared" si="116"/>
        <v>27</v>
      </c>
      <c r="F182" s="72"/>
      <c r="G182" s="79">
        <f t="shared" si="117"/>
        <v>0</v>
      </c>
      <c r="H182" s="79">
        <f t="shared" si="118"/>
        <v>0</v>
      </c>
      <c r="I182" s="79">
        <f t="shared" si="119"/>
        <v>0</v>
      </c>
      <c r="J182" s="79">
        <f t="shared" si="120"/>
        <v>0</v>
      </c>
      <c r="K182" s="79">
        <f t="shared" si="121"/>
        <v>0</v>
      </c>
      <c r="L182" s="79">
        <f t="shared" si="122"/>
        <v>0</v>
      </c>
      <c r="M182" s="80">
        <f t="shared" si="123"/>
        <v>27</v>
      </c>
      <c r="N182" s="79">
        <f t="shared" si="124"/>
        <v>0</v>
      </c>
      <c r="O182" s="79">
        <f t="shared" si="125"/>
        <v>0</v>
      </c>
      <c r="P182" s="79">
        <f t="shared" si="126"/>
        <v>0</v>
      </c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 t="s">
        <v>103</v>
      </c>
      <c r="B183" s="16" t="s">
        <v>139</v>
      </c>
      <c r="C183" s="76">
        <f>C177+C178</f>
        <v>6.54</v>
      </c>
      <c r="D183" s="77">
        <f>B19</f>
        <v>20</v>
      </c>
      <c r="E183" s="78">
        <f t="shared" si="116"/>
        <v>130.8</v>
      </c>
      <c r="F183" s="72"/>
      <c r="G183" s="79">
        <f t="shared" si="117"/>
        <v>0</v>
      </c>
      <c r="H183" s="79">
        <f t="shared" si="118"/>
        <v>0</v>
      </c>
      <c r="I183" s="79">
        <f t="shared" si="119"/>
        <v>0</v>
      </c>
      <c r="J183" s="79">
        <f t="shared" si="120"/>
        <v>0</v>
      </c>
      <c r="K183" s="79">
        <f t="shared" si="121"/>
        <v>0</v>
      </c>
      <c r="L183" s="79">
        <f t="shared" si="122"/>
        <v>0</v>
      </c>
      <c r="M183" s="80">
        <f t="shared" si="123"/>
        <v>130.8</v>
      </c>
      <c r="N183" s="79">
        <f t="shared" si="124"/>
        <v>0</v>
      </c>
      <c r="O183" s="79">
        <f t="shared" si="125"/>
        <v>0</v>
      </c>
      <c r="P183" s="79">
        <f t="shared" si="126"/>
        <v>0</v>
      </c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 t="s">
        <v>93</v>
      </c>
      <c r="B184" s="16" t="s">
        <v>139</v>
      </c>
      <c r="C184" s="76">
        <f>C183</f>
        <v>6.54</v>
      </c>
      <c r="D184" s="77">
        <f>B16</f>
        <v>30</v>
      </c>
      <c r="E184" s="78">
        <f t="shared" si="116"/>
        <v>196.2</v>
      </c>
      <c r="F184" s="72"/>
      <c r="G184" s="79">
        <f t="shared" si="117"/>
        <v>0</v>
      </c>
      <c r="H184" s="79">
        <f t="shared" si="118"/>
        <v>0</v>
      </c>
      <c r="I184" s="79">
        <f t="shared" si="119"/>
        <v>0</v>
      </c>
      <c r="J184" s="79">
        <f t="shared" si="120"/>
        <v>0</v>
      </c>
      <c r="K184" s="79">
        <f t="shared" si="121"/>
        <v>0</v>
      </c>
      <c r="L184" s="79">
        <f t="shared" si="122"/>
        <v>0</v>
      </c>
      <c r="M184" s="80">
        <f t="shared" si="123"/>
        <v>196.2</v>
      </c>
      <c r="N184" s="79">
        <f t="shared" si="124"/>
        <v>0</v>
      </c>
      <c r="O184" s="79">
        <f t="shared" si="125"/>
        <v>0</v>
      </c>
      <c r="P184" s="79">
        <f t="shared" si="126"/>
        <v>0</v>
      </c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16" t="s">
        <v>143</v>
      </c>
      <c r="C185" s="76"/>
      <c r="D185" s="77"/>
      <c r="E185" s="78">
        <f t="shared" si="116"/>
        <v>0</v>
      </c>
      <c r="F185" s="72"/>
      <c r="G185" s="79">
        <f t="shared" si="117"/>
        <v>0</v>
      </c>
      <c r="H185" s="79">
        <f t="shared" si="118"/>
        <v>0</v>
      </c>
      <c r="I185" s="79">
        <f t="shared" si="119"/>
        <v>0</v>
      </c>
      <c r="J185" s="79">
        <f t="shared" si="120"/>
        <v>0</v>
      </c>
      <c r="K185" s="79">
        <f t="shared" si="121"/>
        <v>0</v>
      </c>
      <c r="L185" s="79">
        <f t="shared" si="122"/>
        <v>0</v>
      </c>
      <c r="M185" s="80">
        <f t="shared" si="123"/>
        <v>0</v>
      </c>
      <c r="N185" s="79">
        <f t="shared" si="124"/>
        <v>0</v>
      </c>
      <c r="O185" s="79">
        <f t="shared" si="125"/>
        <v>0</v>
      </c>
      <c r="P185" s="79">
        <f t="shared" si="126"/>
        <v>0</v>
      </c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62"/>
      <c r="B186" s="16"/>
      <c r="C186" s="62"/>
      <c r="D186" s="16"/>
      <c r="E186" s="16"/>
      <c r="F186" s="72"/>
      <c r="G186" s="73">
        <f t="shared" ref="G186:P186" si="128">SUM(G175:G185)</f>
        <v>0</v>
      </c>
      <c r="H186" s="73">
        <f t="shared" si="128"/>
        <v>294.3</v>
      </c>
      <c r="I186" s="73">
        <f t="shared" si="128"/>
        <v>0</v>
      </c>
      <c r="J186" s="73">
        <f t="shared" si="128"/>
        <v>179.85</v>
      </c>
      <c r="K186" s="73">
        <f t="shared" si="128"/>
        <v>108</v>
      </c>
      <c r="L186" s="73">
        <f t="shared" si="128"/>
        <v>0</v>
      </c>
      <c r="M186" s="73">
        <f t="shared" si="128"/>
        <v>648</v>
      </c>
      <c r="N186" s="73">
        <f t="shared" si="128"/>
        <v>0</v>
      </c>
      <c r="O186" s="73">
        <f t="shared" si="128"/>
        <v>0</v>
      </c>
      <c r="P186" s="73">
        <f t="shared" si="128"/>
        <v>0</v>
      </c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16"/>
      <c r="C187" s="16"/>
      <c r="D187" s="16"/>
      <c r="E187" s="16"/>
      <c r="F187" s="72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62" t="s">
        <v>182</v>
      </c>
      <c r="B189" s="16"/>
      <c r="C189" s="76"/>
      <c r="D189" s="77"/>
      <c r="E189" s="78">
        <f t="shared" ref="E189:E202" si="129">C189*D189</f>
        <v>0</v>
      </c>
      <c r="F189" s="72">
        <f>SUM(G190:M202)*$F$25</f>
        <v>3248.6762</v>
      </c>
      <c r="G189" s="79">
        <f t="shared" ref="G189:G202" si="130">IF(B189="metalas",E189*$G$26,0)</f>
        <v>0</v>
      </c>
      <c r="H189" s="79">
        <f t="shared" ref="H189:H202" si="131">IF(B189="LMDP",E189*$H$26,0)</f>
        <v>0</v>
      </c>
      <c r="I189" s="79">
        <f t="shared" ref="I189:I202" si="132">IF(B189="paslauga",E189*$I$26,0)</f>
        <v>0</v>
      </c>
      <c r="J189" s="79">
        <f t="shared" ref="J189:J202" si="133">IF(B189="masyvas",E189*$J$26,0)</f>
        <v>0</v>
      </c>
      <c r="K189" s="79">
        <f t="shared" ref="K189:K202" si="134">IF(B189="furnitura",E189*$K$26,0)</f>
        <v>0</v>
      </c>
      <c r="L189" s="79">
        <f t="shared" ref="L189:L202" si="135">IF(B189="stiklas",E189*$L$26,0)</f>
        <v>0</v>
      </c>
      <c r="M189" s="80">
        <f t="shared" ref="M189:M202" si="136">IF(B189="be kofo",E189*$M$26,0)</f>
        <v>0</v>
      </c>
      <c r="N189" s="79">
        <f t="shared" ref="N189:N202" si="137">IF(G189="paslauga",J189*$I$26,0)</f>
        <v>0</v>
      </c>
      <c r="O189" s="79">
        <f t="shared" ref="O189:O202" si="138">IF(G189="masyvas",J189*$J$26,0)</f>
        <v>0</v>
      </c>
      <c r="P189" s="79">
        <f t="shared" ref="P189:P202" si="139">IF(G189="furnitura",J189*$K$26,0)</f>
        <v>0</v>
      </c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 t="s">
        <v>132</v>
      </c>
      <c r="B190" s="16" t="s">
        <v>121</v>
      </c>
      <c r="C190" s="76">
        <f>C191+C192</f>
        <v>15.7224</v>
      </c>
      <c r="D190" s="81">
        <f>N2</f>
        <v>15</v>
      </c>
      <c r="E190" s="78">
        <f t="shared" si="129"/>
        <v>235.836</v>
      </c>
      <c r="F190" s="72"/>
      <c r="G190" s="79">
        <f t="shared" si="130"/>
        <v>0</v>
      </c>
      <c r="H190" s="79">
        <f t="shared" si="131"/>
        <v>707.508</v>
      </c>
      <c r="I190" s="79">
        <f t="shared" si="132"/>
        <v>0</v>
      </c>
      <c r="J190" s="79">
        <f t="shared" si="133"/>
        <v>0</v>
      </c>
      <c r="K190" s="79">
        <f t="shared" si="134"/>
        <v>0</v>
      </c>
      <c r="L190" s="79">
        <f t="shared" si="135"/>
        <v>0</v>
      </c>
      <c r="M190" s="80">
        <f t="shared" si="136"/>
        <v>0</v>
      </c>
      <c r="N190" s="79">
        <f t="shared" si="137"/>
        <v>0</v>
      </c>
      <c r="O190" s="79">
        <f t="shared" si="138"/>
        <v>0</v>
      </c>
      <c r="P190" s="79">
        <f t="shared" si="139"/>
        <v>0</v>
      </c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 t="s">
        <v>152</v>
      </c>
      <c r="B191" s="16" t="s">
        <v>134</v>
      </c>
      <c r="C191" s="76">
        <f>2.92*0.6*3+1.47*0.6*7</f>
        <v>11.43</v>
      </c>
      <c r="D191" s="77">
        <f>J7</f>
        <v>18</v>
      </c>
      <c r="E191" s="78">
        <f t="shared" si="129"/>
        <v>205.74</v>
      </c>
      <c r="F191" s="72"/>
      <c r="G191" s="79">
        <f t="shared" si="130"/>
        <v>0</v>
      </c>
      <c r="H191" s="79">
        <f t="shared" si="131"/>
        <v>0</v>
      </c>
      <c r="I191" s="79">
        <f t="shared" si="132"/>
        <v>0</v>
      </c>
      <c r="J191" s="79">
        <f t="shared" si="133"/>
        <v>226.314</v>
      </c>
      <c r="K191" s="79">
        <f t="shared" si="134"/>
        <v>0</v>
      </c>
      <c r="L191" s="79">
        <f t="shared" si="135"/>
        <v>0</v>
      </c>
      <c r="M191" s="80">
        <f t="shared" si="136"/>
        <v>0</v>
      </c>
      <c r="N191" s="79">
        <f t="shared" si="137"/>
        <v>0</v>
      </c>
      <c r="O191" s="79">
        <f t="shared" si="138"/>
        <v>0</v>
      </c>
      <c r="P191" s="79">
        <f t="shared" si="139"/>
        <v>0</v>
      </c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 t="s">
        <v>135</v>
      </c>
      <c r="B192" s="16" t="s">
        <v>134</v>
      </c>
      <c r="C192" s="76">
        <f>2.92*1.47</f>
        <v>4.2924</v>
      </c>
      <c r="D192" s="77">
        <f>J11</f>
        <v>25</v>
      </c>
      <c r="E192" s="78">
        <f t="shared" si="129"/>
        <v>107.31</v>
      </c>
      <c r="F192" s="72"/>
      <c r="G192" s="79">
        <f t="shared" si="130"/>
        <v>0</v>
      </c>
      <c r="H192" s="79">
        <f t="shared" si="131"/>
        <v>0</v>
      </c>
      <c r="I192" s="79">
        <f t="shared" si="132"/>
        <v>0</v>
      </c>
      <c r="J192" s="79">
        <f t="shared" si="133"/>
        <v>118.041</v>
      </c>
      <c r="K192" s="79">
        <f t="shared" si="134"/>
        <v>0</v>
      </c>
      <c r="L192" s="79">
        <f t="shared" si="135"/>
        <v>0</v>
      </c>
      <c r="M192" s="80">
        <f t="shared" si="136"/>
        <v>0</v>
      </c>
      <c r="N192" s="79">
        <f t="shared" si="137"/>
        <v>0</v>
      </c>
      <c r="O192" s="79">
        <f t="shared" si="138"/>
        <v>0</v>
      </c>
      <c r="P192" s="79">
        <f t="shared" si="139"/>
        <v>0</v>
      </c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 t="s">
        <v>145</v>
      </c>
      <c r="B193" s="16" t="s">
        <v>139</v>
      </c>
      <c r="C193" s="76">
        <v>4.0</v>
      </c>
      <c r="D193" s="77">
        <f>N12</f>
        <v>90</v>
      </c>
      <c r="E193" s="78">
        <f t="shared" si="129"/>
        <v>360</v>
      </c>
      <c r="F193" s="72"/>
      <c r="G193" s="79">
        <f t="shared" si="130"/>
        <v>0</v>
      </c>
      <c r="H193" s="79">
        <f t="shared" si="131"/>
        <v>0</v>
      </c>
      <c r="I193" s="79">
        <f t="shared" si="132"/>
        <v>0</v>
      </c>
      <c r="J193" s="79">
        <f t="shared" si="133"/>
        <v>0</v>
      </c>
      <c r="K193" s="79">
        <f t="shared" si="134"/>
        <v>0</v>
      </c>
      <c r="L193" s="79">
        <f t="shared" si="135"/>
        <v>0</v>
      </c>
      <c r="M193" s="80">
        <f t="shared" si="136"/>
        <v>360</v>
      </c>
      <c r="N193" s="79">
        <f t="shared" si="137"/>
        <v>0</v>
      </c>
      <c r="O193" s="79">
        <f t="shared" si="138"/>
        <v>0</v>
      </c>
      <c r="P193" s="79">
        <f t="shared" si="139"/>
        <v>0</v>
      </c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 t="s">
        <v>146</v>
      </c>
      <c r="B194" s="16" t="s">
        <v>139</v>
      </c>
      <c r="C194" s="76">
        <v>4.0</v>
      </c>
      <c r="D194" s="77">
        <f>N3</f>
        <v>35</v>
      </c>
      <c r="E194" s="78">
        <f t="shared" si="129"/>
        <v>140</v>
      </c>
      <c r="F194" s="72"/>
      <c r="G194" s="79">
        <f t="shared" si="130"/>
        <v>0</v>
      </c>
      <c r="H194" s="79">
        <f t="shared" si="131"/>
        <v>0</v>
      </c>
      <c r="I194" s="79">
        <f t="shared" si="132"/>
        <v>0</v>
      </c>
      <c r="J194" s="79">
        <f t="shared" si="133"/>
        <v>0</v>
      </c>
      <c r="K194" s="79">
        <f t="shared" si="134"/>
        <v>0</v>
      </c>
      <c r="L194" s="79">
        <f t="shared" si="135"/>
        <v>0</v>
      </c>
      <c r="M194" s="80">
        <f t="shared" si="136"/>
        <v>140</v>
      </c>
      <c r="N194" s="79">
        <f t="shared" si="137"/>
        <v>0</v>
      </c>
      <c r="O194" s="79">
        <f t="shared" si="138"/>
        <v>0</v>
      </c>
      <c r="P194" s="79">
        <f t="shared" si="139"/>
        <v>0</v>
      </c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 t="s">
        <v>136</v>
      </c>
      <c r="B195" s="16" t="s">
        <v>137</v>
      </c>
      <c r="C195" s="76">
        <f>3*4+3*2</f>
        <v>18</v>
      </c>
      <c r="D195" s="77">
        <f t="shared" ref="D195:D197" si="140">J8</f>
        <v>6</v>
      </c>
      <c r="E195" s="78">
        <f t="shared" si="129"/>
        <v>108</v>
      </c>
      <c r="F195" s="72"/>
      <c r="G195" s="79">
        <f t="shared" si="130"/>
        <v>0</v>
      </c>
      <c r="H195" s="79">
        <f t="shared" si="131"/>
        <v>0</v>
      </c>
      <c r="I195" s="79">
        <f t="shared" si="132"/>
        <v>0</v>
      </c>
      <c r="J195" s="79">
        <f t="shared" si="133"/>
        <v>0</v>
      </c>
      <c r="K195" s="79">
        <f t="shared" si="134"/>
        <v>216</v>
      </c>
      <c r="L195" s="79">
        <f t="shared" si="135"/>
        <v>0</v>
      </c>
      <c r="M195" s="80">
        <f t="shared" si="136"/>
        <v>0</v>
      </c>
      <c r="N195" s="79">
        <f t="shared" si="137"/>
        <v>0</v>
      </c>
      <c r="O195" s="79">
        <f t="shared" si="138"/>
        <v>0</v>
      </c>
      <c r="P195" s="79">
        <f t="shared" si="139"/>
        <v>0</v>
      </c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 t="s">
        <v>138</v>
      </c>
      <c r="B196" s="16" t="s">
        <v>137</v>
      </c>
      <c r="C196" s="76">
        <v>3.0</v>
      </c>
      <c r="D196" s="77">
        <f t="shared" si="140"/>
        <v>6</v>
      </c>
      <c r="E196" s="78">
        <f t="shared" si="129"/>
        <v>18</v>
      </c>
      <c r="F196" s="72"/>
      <c r="G196" s="79">
        <f t="shared" si="130"/>
        <v>0</v>
      </c>
      <c r="H196" s="79">
        <f t="shared" si="131"/>
        <v>0</v>
      </c>
      <c r="I196" s="79">
        <f t="shared" si="132"/>
        <v>0</v>
      </c>
      <c r="J196" s="79">
        <f t="shared" si="133"/>
        <v>0</v>
      </c>
      <c r="K196" s="79">
        <f t="shared" si="134"/>
        <v>36</v>
      </c>
      <c r="L196" s="79">
        <f t="shared" si="135"/>
        <v>0</v>
      </c>
      <c r="M196" s="80">
        <f t="shared" si="136"/>
        <v>0</v>
      </c>
      <c r="N196" s="79">
        <f t="shared" si="137"/>
        <v>0</v>
      </c>
      <c r="O196" s="79">
        <f t="shared" si="138"/>
        <v>0</v>
      </c>
      <c r="P196" s="79">
        <f t="shared" si="139"/>
        <v>0</v>
      </c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 t="s">
        <v>159</v>
      </c>
      <c r="B197" s="16" t="s">
        <v>137</v>
      </c>
      <c r="C197" s="76">
        <v>3.0</v>
      </c>
      <c r="D197" s="77">
        <f t="shared" si="140"/>
        <v>25</v>
      </c>
      <c r="E197" s="78">
        <f t="shared" si="129"/>
        <v>75</v>
      </c>
      <c r="F197" s="72"/>
      <c r="G197" s="79">
        <f t="shared" si="130"/>
        <v>0</v>
      </c>
      <c r="H197" s="79">
        <f t="shared" si="131"/>
        <v>0</v>
      </c>
      <c r="I197" s="79">
        <f t="shared" si="132"/>
        <v>0</v>
      </c>
      <c r="J197" s="79">
        <f t="shared" si="133"/>
        <v>0</v>
      </c>
      <c r="K197" s="79">
        <f t="shared" si="134"/>
        <v>150</v>
      </c>
      <c r="L197" s="79">
        <f t="shared" si="135"/>
        <v>0</v>
      </c>
      <c r="M197" s="80">
        <f t="shared" si="136"/>
        <v>0</v>
      </c>
      <c r="N197" s="79">
        <f t="shared" si="137"/>
        <v>0</v>
      </c>
      <c r="O197" s="79">
        <f t="shared" si="138"/>
        <v>0</v>
      </c>
      <c r="P197" s="79">
        <f t="shared" si="139"/>
        <v>0</v>
      </c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 t="s">
        <v>59</v>
      </c>
      <c r="B198" s="16" t="s">
        <v>139</v>
      </c>
      <c r="C198" s="76">
        <f>C195+C196+C197</f>
        <v>24</v>
      </c>
      <c r="D198" s="77">
        <f>N7</f>
        <v>3</v>
      </c>
      <c r="E198" s="78">
        <f t="shared" si="129"/>
        <v>72</v>
      </c>
      <c r="F198" s="72"/>
      <c r="G198" s="79">
        <f t="shared" si="130"/>
        <v>0</v>
      </c>
      <c r="H198" s="79">
        <f t="shared" si="131"/>
        <v>0</v>
      </c>
      <c r="I198" s="79">
        <f t="shared" si="132"/>
        <v>0</v>
      </c>
      <c r="J198" s="79">
        <f t="shared" si="133"/>
        <v>0</v>
      </c>
      <c r="K198" s="79">
        <f t="shared" si="134"/>
        <v>0</v>
      </c>
      <c r="L198" s="79">
        <f t="shared" si="135"/>
        <v>0</v>
      </c>
      <c r="M198" s="80">
        <f t="shared" si="136"/>
        <v>72</v>
      </c>
      <c r="N198" s="79">
        <f t="shared" si="137"/>
        <v>0</v>
      </c>
      <c r="O198" s="79">
        <f t="shared" si="138"/>
        <v>0</v>
      </c>
      <c r="P198" s="79">
        <f t="shared" si="139"/>
        <v>0</v>
      </c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 t="s">
        <v>140</v>
      </c>
      <c r="B199" s="16" t="s">
        <v>137</v>
      </c>
      <c r="C199" s="76">
        <v>2.0</v>
      </c>
      <c r="D199" s="77">
        <f>J12</f>
        <v>15</v>
      </c>
      <c r="E199" s="78">
        <f t="shared" si="129"/>
        <v>30</v>
      </c>
      <c r="F199" s="72"/>
      <c r="G199" s="79">
        <f t="shared" si="130"/>
        <v>0</v>
      </c>
      <c r="H199" s="79">
        <f t="shared" si="131"/>
        <v>0</v>
      </c>
      <c r="I199" s="79">
        <f t="shared" si="132"/>
        <v>0</v>
      </c>
      <c r="J199" s="79">
        <f t="shared" si="133"/>
        <v>0</v>
      </c>
      <c r="K199" s="79">
        <f t="shared" si="134"/>
        <v>60</v>
      </c>
      <c r="L199" s="79">
        <f t="shared" si="135"/>
        <v>0</v>
      </c>
      <c r="M199" s="80">
        <f t="shared" si="136"/>
        <v>0</v>
      </c>
      <c r="N199" s="79">
        <f t="shared" si="137"/>
        <v>0</v>
      </c>
      <c r="O199" s="79">
        <f t="shared" si="138"/>
        <v>0</v>
      </c>
      <c r="P199" s="79">
        <f t="shared" si="139"/>
        <v>0</v>
      </c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 t="s">
        <v>141</v>
      </c>
      <c r="B200" s="16" t="s">
        <v>139</v>
      </c>
      <c r="C200" s="76">
        <v>2.0</v>
      </c>
      <c r="D200" s="77">
        <f>N8</f>
        <v>10</v>
      </c>
      <c r="E200" s="78">
        <f t="shared" si="129"/>
        <v>20</v>
      </c>
      <c r="F200" s="72"/>
      <c r="G200" s="79">
        <f t="shared" si="130"/>
        <v>0</v>
      </c>
      <c r="H200" s="79">
        <f t="shared" si="131"/>
        <v>0</v>
      </c>
      <c r="I200" s="79">
        <f t="shared" si="132"/>
        <v>0</v>
      </c>
      <c r="J200" s="79">
        <f t="shared" si="133"/>
        <v>0</v>
      </c>
      <c r="K200" s="79">
        <f t="shared" si="134"/>
        <v>0</v>
      </c>
      <c r="L200" s="79">
        <f t="shared" si="135"/>
        <v>0</v>
      </c>
      <c r="M200" s="80">
        <f t="shared" si="136"/>
        <v>20</v>
      </c>
      <c r="N200" s="79">
        <f t="shared" si="137"/>
        <v>0</v>
      </c>
      <c r="O200" s="79">
        <f t="shared" si="138"/>
        <v>0</v>
      </c>
      <c r="P200" s="79">
        <f t="shared" si="139"/>
        <v>0</v>
      </c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 t="s">
        <v>103</v>
      </c>
      <c r="B201" s="16" t="s">
        <v>139</v>
      </c>
      <c r="C201" s="76">
        <f>C192</f>
        <v>4.2924</v>
      </c>
      <c r="D201" s="77">
        <f>B19</f>
        <v>20</v>
      </c>
      <c r="E201" s="78">
        <f t="shared" si="129"/>
        <v>85.848</v>
      </c>
      <c r="F201" s="72"/>
      <c r="G201" s="79">
        <f t="shared" si="130"/>
        <v>0</v>
      </c>
      <c r="H201" s="79">
        <f t="shared" si="131"/>
        <v>0</v>
      </c>
      <c r="I201" s="79">
        <f t="shared" si="132"/>
        <v>0</v>
      </c>
      <c r="J201" s="79">
        <f t="shared" si="133"/>
        <v>0</v>
      </c>
      <c r="K201" s="79">
        <f t="shared" si="134"/>
        <v>0</v>
      </c>
      <c r="L201" s="79">
        <f t="shared" si="135"/>
        <v>0</v>
      </c>
      <c r="M201" s="80">
        <f t="shared" si="136"/>
        <v>85.848</v>
      </c>
      <c r="N201" s="79">
        <f t="shared" si="137"/>
        <v>0</v>
      </c>
      <c r="O201" s="79">
        <f t="shared" si="138"/>
        <v>0</v>
      </c>
      <c r="P201" s="79">
        <f t="shared" si="139"/>
        <v>0</v>
      </c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 t="s">
        <v>93</v>
      </c>
      <c r="B202" s="16" t="s">
        <v>139</v>
      </c>
      <c r="C202" s="76">
        <f>C192</f>
        <v>4.2924</v>
      </c>
      <c r="D202" s="77">
        <f>B16</f>
        <v>30</v>
      </c>
      <c r="E202" s="78">
        <f t="shared" si="129"/>
        <v>128.772</v>
      </c>
      <c r="F202" s="72"/>
      <c r="G202" s="79">
        <f t="shared" si="130"/>
        <v>0</v>
      </c>
      <c r="H202" s="79">
        <f t="shared" si="131"/>
        <v>0</v>
      </c>
      <c r="I202" s="79">
        <f t="shared" si="132"/>
        <v>0</v>
      </c>
      <c r="J202" s="79">
        <f t="shared" si="133"/>
        <v>0</v>
      </c>
      <c r="K202" s="79">
        <f t="shared" si="134"/>
        <v>0</v>
      </c>
      <c r="L202" s="79">
        <f t="shared" si="135"/>
        <v>0</v>
      </c>
      <c r="M202" s="80">
        <f t="shared" si="136"/>
        <v>128.772</v>
      </c>
      <c r="N202" s="79">
        <f t="shared" si="137"/>
        <v>0</v>
      </c>
      <c r="O202" s="79">
        <f t="shared" si="138"/>
        <v>0</v>
      </c>
      <c r="P202" s="79">
        <f t="shared" si="139"/>
        <v>0</v>
      </c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62"/>
      <c r="B203" s="16"/>
      <c r="C203" s="62"/>
      <c r="D203" s="16"/>
      <c r="E203" s="16"/>
      <c r="F203" s="72"/>
      <c r="G203" s="73">
        <f t="shared" ref="G203:P203" si="141">SUM(G189:G202)</f>
        <v>0</v>
      </c>
      <c r="H203" s="73">
        <f t="shared" si="141"/>
        <v>707.508</v>
      </c>
      <c r="I203" s="73">
        <f t="shared" si="141"/>
        <v>0</v>
      </c>
      <c r="J203" s="73">
        <f t="shared" si="141"/>
        <v>344.355</v>
      </c>
      <c r="K203" s="73">
        <f t="shared" si="141"/>
        <v>462</v>
      </c>
      <c r="L203" s="73">
        <f t="shared" si="141"/>
        <v>0</v>
      </c>
      <c r="M203" s="73">
        <f t="shared" si="141"/>
        <v>806.62</v>
      </c>
      <c r="N203" s="73">
        <f t="shared" si="141"/>
        <v>0</v>
      </c>
      <c r="O203" s="73">
        <f t="shared" si="141"/>
        <v>0</v>
      </c>
      <c r="P203" s="73">
        <f t="shared" si="141"/>
        <v>0</v>
      </c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62" t="s">
        <v>183</v>
      </c>
      <c r="B206" s="16"/>
      <c r="C206" s="76"/>
      <c r="D206" s="77"/>
      <c r="E206" s="78">
        <f t="shared" ref="E206:E214" si="142">C206*D206</f>
        <v>0</v>
      </c>
      <c r="F206" s="72">
        <f>SUM(G207:M214)*$F$25</f>
        <v>1246.58352</v>
      </c>
      <c r="G206" s="79">
        <f t="shared" ref="G206:G214" si="143">IF(B206="metalas",E206*$G$26,0)</f>
        <v>0</v>
      </c>
      <c r="H206" s="79">
        <f t="shared" ref="H206:H214" si="144">IF(B206="LMDP",E206*$H$26,0)</f>
        <v>0</v>
      </c>
      <c r="I206" s="79">
        <f t="shared" ref="I206:I214" si="145">IF(B206="paslauga",E206*$I$26,0)</f>
        <v>0</v>
      </c>
      <c r="J206" s="79">
        <f t="shared" ref="J206:J214" si="146">IF(B206="masyvas",E206*$J$26,0)</f>
        <v>0</v>
      </c>
      <c r="K206" s="79">
        <f t="shared" ref="K206:K214" si="147">IF(B206="furnitura",E206*$K$26,0)</f>
        <v>0</v>
      </c>
      <c r="L206" s="79">
        <f t="shared" ref="L206:L214" si="148">IF(B206="stiklas",E206*$L$26,0)</f>
        <v>0</v>
      </c>
      <c r="M206" s="80">
        <f t="shared" ref="M206:M214" si="149">IF(B206="be kofo",E206*$M$26,0)</f>
        <v>0</v>
      </c>
      <c r="N206" s="79">
        <f t="shared" ref="N206:N214" si="150">IF(G206="paslauga",J206*$I$26,0)</f>
        <v>0</v>
      </c>
      <c r="O206" s="79">
        <f t="shared" ref="O206:O214" si="151">IF(G206="masyvas",J206*$J$26,0)</f>
        <v>0</v>
      </c>
      <c r="P206" s="79">
        <f t="shared" ref="P206:P214" si="152">IF(G206="furnitura",J206*$K$26,0)</f>
        <v>0</v>
      </c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 t="s">
        <v>132</v>
      </c>
      <c r="B207" s="16" t="s">
        <v>121</v>
      </c>
      <c r="C207" s="76">
        <f>C208</f>
        <v>13.741</v>
      </c>
      <c r="D207" s="81">
        <f>N2</f>
        <v>15</v>
      </c>
      <c r="E207" s="78">
        <f t="shared" si="142"/>
        <v>206.115</v>
      </c>
      <c r="F207" s="72"/>
      <c r="G207" s="79">
        <f t="shared" si="143"/>
        <v>0</v>
      </c>
      <c r="H207" s="79">
        <f t="shared" si="144"/>
        <v>618.345</v>
      </c>
      <c r="I207" s="79">
        <f t="shared" si="145"/>
        <v>0</v>
      </c>
      <c r="J207" s="79">
        <f t="shared" si="146"/>
        <v>0</v>
      </c>
      <c r="K207" s="79">
        <f t="shared" si="147"/>
        <v>0</v>
      </c>
      <c r="L207" s="79">
        <f t="shared" si="148"/>
        <v>0</v>
      </c>
      <c r="M207" s="80">
        <f t="shared" si="149"/>
        <v>0</v>
      </c>
      <c r="N207" s="79">
        <f t="shared" si="150"/>
        <v>0</v>
      </c>
      <c r="O207" s="79">
        <f t="shared" si="151"/>
        <v>0</v>
      </c>
      <c r="P207" s="79">
        <f t="shared" si="152"/>
        <v>0</v>
      </c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 t="s">
        <v>152</v>
      </c>
      <c r="B208" s="16" t="s">
        <v>134</v>
      </c>
      <c r="C208" s="76">
        <f>2.92*0.6*3+1.115*0.6*3+0.515*0.6*2+2.92*0.5*2+1.47*0.5*4</f>
        <v>13.741</v>
      </c>
      <c r="D208" s="77">
        <f>J5</f>
        <v>18</v>
      </c>
      <c r="E208" s="78">
        <f t="shared" si="142"/>
        <v>247.338</v>
      </c>
      <c r="F208" s="72"/>
      <c r="G208" s="79">
        <f t="shared" si="143"/>
        <v>0</v>
      </c>
      <c r="H208" s="79">
        <f t="shared" si="144"/>
        <v>0</v>
      </c>
      <c r="I208" s="79">
        <f t="shared" si="145"/>
        <v>0</v>
      </c>
      <c r="J208" s="79">
        <f t="shared" si="146"/>
        <v>272.0718</v>
      </c>
      <c r="K208" s="79">
        <f t="shared" si="147"/>
        <v>0</v>
      </c>
      <c r="L208" s="79">
        <f t="shared" si="148"/>
        <v>0</v>
      </c>
      <c r="M208" s="80">
        <f t="shared" si="149"/>
        <v>0</v>
      </c>
      <c r="N208" s="79">
        <f t="shared" si="150"/>
        <v>0</v>
      </c>
      <c r="O208" s="79">
        <f t="shared" si="151"/>
        <v>0</v>
      </c>
      <c r="P208" s="79">
        <f t="shared" si="152"/>
        <v>0</v>
      </c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16" t="s">
        <v>139</v>
      </c>
      <c r="C209" s="76"/>
      <c r="D209" s="77"/>
      <c r="E209" s="78">
        <f t="shared" si="142"/>
        <v>0</v>
      </c>
      <c r="F209" s="72"/>
      <c r="G209" s="79">
        <f t="shared" si="143"/>
        <v>0</v>
      </c>
      <c r="H209" s="79">
        <f t="shared" si="144"/>
        <v>0</v>
      </c>
      <c r="I209" s="79">
        <f t="shared" si="145"/>
        <v>0</v>
      </c>
      <c r="J209" s="79">
        <f t="shared" si="146"/>
        <v>0</v>
      </c>
      <c r="K209" s="79">
        <f t="shared" si="147"/>
        <v>0</v>
      </c>
      <c r="L209" s="79">
        <f t="shared" si="148"/>
        <v>0</v>
      </c>
      <c r="M209" s="80">
        <f t="shared" si="149"/>
        <v>0</v>
      </c>
      <c r="N209" s="79">
        <f t="shared" si="150"/>
        <v>0</v>
      </c>
      <c r="O209" s="79">
        <f t="shared" si="151"/>
        <v>0</v>
      </c>
      <c r="P209" s="79">
        <f t="shared" si="152"/>
        <v>0</v>
      </c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16" t="s">
        <v>139</v>
      </c>
      <c r="C210" s="76"/>
      <c r="D210" s="77"/>
      <c r="E210" s="78">
        <f t="shared" si="142"/>
        <v>0</v>
      </c>
      <c r="F210" s="72"/>
      <c r="G210" s="79">
        <f t="shared" si="143"/>
        <v>0</v>
      </c>
      <c r="H210" s="79">
        <f t="shared" si="144"/>
        <v>0</v>
      </c>
      <c r="I210" s="79">
        <f t="shared" si="145"/>
        <v>0</v>
      </c>
      <c r="J210" s="79">
        <f t="shared" si="146"/>
        <v>0</v>
      </c>
      <c r="K210" s="79">
        <f t="shared" si="147"/>
        <v>0</v>
      </c>
      <c r="L210" s="79">
        <f t="shared" si="148"/>
        <v>0</v>
      </c>
      <c r="M210" s="80">
        <f t="shared" si="149"/>
        <v>0</v>
      </c>
      <c r="N210" s="79">
        <f t="shared" si="150"/>
        <v>0</v>
      </c>
      <c r="O210" s="79">
        <f t="shared" si="151"/>
        <v>0</v>
      </c>
      <c r="P210" s="79">
        <f t="shared" si="152"/>
        <v>0</v>
      </c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16" t="s">
        <v>143</v>
      </c>
      <c r="C211" s="76"/>
      <c r="D211" s="77"/>
      <c r="E211" s="78">
        <f t="shared" si="142"/>
        <v>0</v>
      </c>
      <c r="F211" s="72"/>
      <c r="G211" s="79">
        <f t="shared" si="143"/>
        <v>0</v>
      </c>
      <c r="H211" s="79">
        <f t="shared" si="144"/>
        <v>0</v>
      </c>
      <c r="I211" s="79">
        <f t="shared" si="145"/>
        <v>0</v>
      </c>
      <c r="J211" s="79">
        <f t="shared" si="146"/>
        <v>0</v>
      </c>
      <c r="K211" s="79">
        <f t="shared" si="147"/>
        <v>0</v>
      </c>
      <c r="L211" s="79">
        <f t="shared" si="148"/>
        <v>0</v>
      </c>
      <c r="M211" s="80">
        <f t="shared" si="149"/>
        <v>0</v>
      </c>
      <c r="N211" s="79">
        <f t="shared" si="150"/>
        <v>0</v>
      </c>
      <c r="O211" s="79">
        <f t="shared" si="151"/>
        <v>0</v>
      </c>
      <c r="P211" s="79">
        <f t="shared" si="152"/>
        <v>0</v>
      </c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16" t="s">
        <v>143</v>
      </c>
      <c r="C212" s="76"/>
      <c r="D212" s="77"/>
      <c r="E212" s="78">
        <f t="shared" si="142"/>
        <v>0</v>
      </c>
      <c r="F212" s="72"/>
      <c r="G212" s="79">
        <f t="shared" si="143"/>
        <v>0</v>
      </c>
      <c r="H212" s="79">
        <f t="shared" si="144"/>
        <v>0</v>
      </c>
      <c r="I212" s="79">
        <f t="shared" si="145"/>
        <v>0</v>
      </c>
      <c r="J212" s="79">
        <f t="shared" si="146"/>
        <v>0</v>
      </c>
      <c r="K212" s="79">
        <f t="shared" si="147"/>
        <v>0</v>
      </c>
      <c r="L212" s="79">
        <f t="shared" si="148"/>
        <v>0</v>
      </c>
      <c r="M212" s="80">
        <f t="shared" si="149"/>
        <v>0</v>
      </c>
      <c r="N212" s="79">
        <f t="shared" si="150"/>
        <v>0</v>
      </c>
      <c r="O212" s="79">
        <f t="shared" si="151"/>
        <v>0</v>
      </c>
      <c r="P212" s="79">
        <f t="shared" si="152"/>
        <v>0</v>
      </c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16" t="s">
        <v>143</v>
      </c>
      <c r="C213" s="76"/>
      <c r="D213" s="77"/>
      <c r="E213" s="78">
        <f t="shared" si="142"/>
        <v>0</v>
      </c>
      <c r="F213" s="72"/>
      <c r="G213" s="79">
        <f t="shared" si="143"/>
        <v>0</v>
      </c>
      <c r="H213" s="79">
        <f t="shared" si="144"/>
        <v>0</v>
      </c>
      <c r="I213" s="79">
        <f t="shared" si="145"/>
        <v>0</v>
      </c>
      <c r="J213" s="79">
        <f t="shared" si="146"/>
        <v>0</v>
      </c>
      <c r="K213" s="79">
        <f t="shared" si="147"/>
        <v>0</v>
      </c>
      <c r="L213" s="79">
        <f t="shared" si="148"/>
        <v>0</v>
      </c>
      <c r="M213" s="80">
        <f t="shared" si="149"/>
        <v>0</v>
      </c>
      <c r="N213" s="79">
        <f t="shared" si="150"/>
        <v>0</v>
      </c>
      <c r="O213" s="79">
        <f t="shared" si="151"/>
        <v>0</v>
      </c>
      <c r="P213" s="79">
        <f t="shared" si="152"/>
        <v>0</v>
      </c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16" t="s">
        <v>143</v>
      </c>
      <c r="C214" s="76"/>
      <c r="D214" s="77"/>
      <c r="E214" s="78">
        <f t="shared" si="142"/>
        <v>0</v>
      </c>
      <c r="F214" s="72"/>
      <c r="G214" s="79">
        <f t="shared" si="143"/>
        <v>0</v>
      </c>
      <c r="H214" s="79">
        <f t="shared" si="144"/>
        <v>0</v>
      </c>
      <c r="I214" s="79">
        <f t="shared" si="145"/>
        <v>0</v>
      </c>
      <c r="J214" s="79">
        <f t="shared" si="146"/>
        <v>0</v>
      </c>
      <c r="K214" s="79">
        <f t="shared" si="147"/>
        <v>0</v>
      </c>
      <c r="L214" s="79">
        <f t="shared" si="148"/>
        <v>0</v>
      </c>
      <c r="M214" s="80">
        <f t="shared" si="149"/>
        <v>0</v>
      </c>
      <c r="N214" s="79">
        <f t="shared" si="150"/>
        <v>0</v>
      </c>
      <c r="O214" s="79">
        <f t="shared" si="151"/>
        <v>0</v>
      </c>
      <c r="P214" s="79">
        <f t="shared" si="152"/>
        <v>0</v>
      </c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62"/>
      <c r="B215" s="16"/>
      <c r="C215" s="62"/>
      <c r="D215" s="16"/>
      <c r="E215" s="16"/>
      <c r="F215" s="72"/>
      <c r="G215" s="73">
        <f t="shared" ref="G215:P215" si="153">SUM(G206:G214)</f>
        <v>0</v>
      </c>
      <c r="H215" s="73">
        <f t="shared" si="153"/>
        <v>618.345</v>
      </c>
      <c r="I215" s="73">
        <f t="shared" si="153"/>
        <v>0</v>
      </c>
      <c r="J215" s="73">
        <f t="shared" si="153"/>
        <v>272.0718</v>
      </c>
      <c r="K215" s="73">
        <f t="shared" si="153"/>
        <v>0</v>
      </c>
      <c r="L215" s="73">
        <f t="shared" si="153"/>
        <v>0</v>
      </c>
      <c r="M215" s="73">
        <f t="shared" si="153"/>
        <v>0</v>
      </c>
      <c r="N215" s="73">
        <f t="shared" si="153"/>
        <v>0</v>
      </c>
      <c r="O215" s="73">
        <f t="shared" si="153"/>
        <v>0</v>
      </c>
      <c r="P215" s="73">
        <f t="shared" si="153"/>
        <v>0</v>
      </c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G17:I17"/>
    <mergeCell ref="G18:I18"/>
    <mergeCell ref="G19:I19"/>
    <mergeCell ref="G20:I20"/>
    <mergeCell ref="G21:I21"/>
    <mergeCell ref="G22:I22"/>
    <mergeCell ref="G23:I23"/>
    <mergeCell ref="G10:I10"/>
    <mergeCell ref="G11:I11"/>
    <mergeCell ref="G12:I12"/>
    <mergeCell ref="G13:I13"/>
    <mergeCell ref="G14:I14"/>
    <mergeCell ref="G15:I15"/>
    <mergeCell ref="G16:I16"/>
    <mergeCell ref="C18:E18"/>
    <mergeCell ref="C19:E19"/>
    <mergeCell ref="C20:E20"/>
    <mergeCell ref="C21:E21"/>
    <mergeCell ref="C22:E22"/>
    <mergeCell ref="C23:E23"/>
    <mergeCell ref="C11:E11"/>
    <mergeCell ref="C12:E12"/>
    <mergeCell ref="C13:E13"/>
    <mergeCell ref="C14:E14"/>
    <mergeCell ref="C15:E15"/>
    <mergeCell ref="C16:E16"/>
    <mergeCell ref="C17:E17"/>
    <mergeCell ref="C1:E1"/>
    <mergeCell ref="G1:I1"/>
    <mergeCell ref="K1:M1"/>
    <mergeCell ref="C2:E2"/>
    <mergeCell ref="G2:I2"/>
    <mergeCell ref="G3:I3"/>
    <mergeCell ref="K3:M3"/>
    <mergeCell ref="K5:M5"/>
    <mergeCell ref="K6:M6"/>
    <mergeCell ref="G6:I6"/>
    <mergeCell ref="G7:I7"/>
    <mergeCell ref="C3:E3"/>
    <mergeCell ref="C4:E4"/>
    <mergeCell ref="G4:I4"/>
    <mergeCell ref="C5:E5"/>
    <mergeCell ref="G5:I5"/>
    <mergeCell ref="C6:E6"/>
    <mergeCell ref="C7:E7"/>
    <mergeCell ref="C8:E8"/>
    <mergeCell ref="G8:I8"/>
    <mergeCell ref="K8:M8"/>
    <mergeCell ref="C9:E9"/>
    <mergeCell ref="G9:I9"/>
    <mergeCell ref="C10:E10"/>
    <mergeCell ref="K11:M11"/>
    <mergeCell ref="K17:M17"/>
    <mergeCell ref="K18:M18"/>
    <mergeCell ref="K19:M19"/>
    <mergeCell ref="K20:M20"/>
    <mergeCell ref="K21:M21"/>
    <mergeCell ref="K22:M22"/>
    <mergeCell ref="K23:M23"/>
    <mergeCell ref="K9:M9"/>
    <mergeCell ref="K10:M10"/>
    <mergeCell ref="K12:M12"/>
    <mergeCell ref="K13:M13"/>
    <mergeCell ref="K14:M14"/>
    <mergeCell ref="K15:M15"/>
    <mergeCell ref="K16:M16"/>
  </mergeCells>
  <dataValidations>
    <dataValidation type="list" allowBlank="1" sqref="B28:B41 B46:B55 B60:B73 B78:B101 B106:B113 B118:B125 B130:B138 B143:B159 B164:B171 B176:B185 B190:B202 B207:B214">
      <formula1>"metalas,LMDP,paslauga,masyvas,furnitura,stiklas,be kofo"</formula1>
    </dataValidation>
    <dataValidation type="list" allowBlank="1" sqref="B26:B27 B45 B59 B77 B105 B117 B129 B142 B163 B175 B189 B206">
      <formula1>"metalas,LMDP,paslauga,masyvas,furnitura,stiklas"</formula1>
    </dataValidation>
  </dataValidations>
  <hyperlinks>
    <hyperlink r:id="rId1" ref="K15"/>
  </hyperlink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9" max="9" width="19.75"/>
  </cols>
  <sheetData>
    <row r="6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B7" s="1"/>
      <c r="C7" s="7" t="s">
        <v>2</v>
      </c>
      <c r="D7" s="7" t="s">
        <v>3</v>
      </c>
      <c r="E7" s="7" t="s">
        <v>4</v>
      </c>
      <c r="F7" s="9"/>
      <c r="G7" s="7" t="s">
        <v>5</v>
      </c>
      <c r="H7" s="7" t="s">
        <v>6</v>
      </c>
      <c r="I7" s="7" t="s">
        <v>7</v>
      </c>
      <c r="J7" s="7" t="s">
        <v>8</v>
      </c>
      <c r="K7" s="7" t="s">
        <v>9</v>
      </c>
      <c r="L7" s="7" t="s">
        <v>10</v>
      </c>
      <c r="M7" s="7" t="s">
        <v>11</v>
      </c>
      <c r="N7" s="7" t="s">
        <v>12</v>
      </c>
      <c r="O7" s="7" t="s">
        <v>14</v>
      </c>
      <c r="P7" s="1"/>
      <c r="Q7" s="1" t="s">
        <v>15</v>
      </c>
      <c r="R7" s="12" t="s">
        <v>17</v>
      </c>
      <c r="S7" s="1" t="s">
        <v>5</v>
      </c>
      <c r="T7" s="1" t="s">
        <v>20</v>
      </c>
      <c r="U7" s="1" t="s">
        <v>6</v>
      </c>
      <c r="V7" s="1" t="s">
        <v>11</v>
      </c>
      <c r="W7" s="1" t="s">
        <v>10</v>
      </c>
      <c r="X7" s="1" t="s">
        <v>12</v>
      </c>
      <c r="Y7" s="1" t="s">
        <v>14</v>
      </c>
      <c r="Z7" s="1" t="s">
        <v>21</v>
      </c>
      <c r="AA7" s="1"/>
      <c r="AB7" s="1"/>
      <c r="AC7" s="1"/>
    </row>
    <row r="8">
      <c r="B8" s="1"/>
      <c r="C8" s="17">
        <v>1500.0</v>
      </c>
      <c r="D8" s="17">
        <v>1050.0</v>
      </c>
      <c r="E8" s="17">
        <v>800.0</v>
      </c>
      <c r="F8" s="1"/>
      <c r="G8" s="19" t="b">
        <v>1</v>
      </c>
      <c r="H8" s="21">
        <v>6.0</v>
      </c>
      <c r="I8" s="19" t="b">
        <v>1</v>
      </c>
      <c r="J8" s="21">
        <v>192.0</v>
      </c>
      <c r="K8" s="21">
        <v>550.0</v>
      </c>
      <c r="L8" s="19" t="b">
        <v>1</v>
      </c>
      <c r="M8" s="21">
        <v>0.0</v>
      </c>
      <c r="N8" s="19" t="b">
        <v>0</v>
      </c>
      <c r="O8" s="21">
        <v>1.0</v>
      </c>
      <c r="P8" s="1"/>
      <c r="Q8" s="21">
        <f>T8+(IF(G8=TRUE,S8,0))+(IF(H8&gt;0,U8,0))+(IF(L8=TRUE,W8,0))+(IF(M8&gt;0,V8,0))+(IF(N8=TRUE,X8,0))+(Y8*O8)+(IF(I8=TRUE,Z8,0))</f>
        <v>13.978452</v>
      </c>
      <c r="R8" s="41">
        <f t="shared" ref="R8:R38" si="1">IF(Q8&gt;0,Q8,0)</f>
        <v>13.978452</v>
      </c>
      <c r="S8" s="21">
        <f t="shared" ref="S8:S38" si="2">C8*E8/1000000</f>
        <v>1.2</v>
      </c>
      <c r="T8" s="21">
        <f t="shared" ref="T8:T38" si="3">((C8*D8)+(C8*E8*2)+(2*((C8-36)*100)))/1000000</f>
        <v>4.2678</v>
      </c>
      <c r="U8" s="21">
        <f t="shared" ref="U8:U38" si="4">(((((C8-36)-75)*K8)/1000000)*H8)+(((((C8-36)-87)*J8)/1000000)*H8)</f>
        <v>6.170004</v>
      </c>
      <c r="V8" s="21">
        <f t="shared" ref="V8:V38" si="5">((C8-36)*(D8-28))/1000000</f>
        <v>1.496208</v>
      </c>
      <c r="W8" s="21">
        <f t="shared" ref="W8:W38" si="6">((C8-36)*(E8-18))/1000000</f>
        <v>1.144848</v>
      </c>
      <c r="X8" s="21">
        <f t="shared" ref="X8:X38" si="7">(C8*100)/1000000</f>
        <v>0.15</v>
      </c>
      <c r="Y8" s="21">
        <f t="shared" ref="Y8:Y38" si="8">((E8-36)*D8)/1000000</f>
        <v>0.8022</v>
      </c>
      <c r="Z8" s="21">
        <f>((C8*J8)+(K8*J8))/1000000</f>
        <v>0.3936</v>
      </c>
      <c r="AA8" s="1"/>
      <c r="AB8" s="1"/>
      <c r="AC8" s="1"/>
    </row>
    <row r="9">
      <c r="B9" s="1"/>
      <c r="C9" s="17">
        <v>540.0</v>
      </c>
      <c r="D9" s="17">
        <v>600.0</v>
      </c>
      <c r="E9" s="17">
        <v>800.0</v>
      </c>
      <c r="F9" s="1"/>
      <c r="G9" s="19" t="b">
        <v>0</v>
      </c>
      <c r="H9" s="21">
        <v>3.0</v>
      </c>
      <c r="I9" s="19" t="b">
        <v>0</v>
      </c>
      <c r="J9" s="21">
        <v>224.0</v>
      </c>
      <c r="K9" s="21">
        <v>450.0</v>
      </c>
      <c r="L9" s="19" t="b">
        <v>1</v>
      </c>
      <c r="M9" s="21">
        <v>0.0</v>
      </c>
      <c r="N9" s="19" t="b">
        <v>1</v>
      </c>
      <c r="O9" s="21">
        <v>0.0</v>
      </c>
      <c r="P9" s="1"/>
      <c r="Q9" s="21">
        <f t="shared" ref="Q9:Q38" si="9">T9+(IF(G9=TRUE,S9,0))+(IF(H9&gt;0,U9,0))+(IF(L9=TRUE,W9,0))+(IF(M9&gt;0,V9,0))+(IF(N9=TRUE,X9,0))</f>
        <v>2.596302</v>
      </c>
      <c r="R9" s="41">
        <f t="shared" si="1"/>
        <v>2.596302</v>
      </c>
      <c r="S9" s="21">
        <f t="shared" si="2"/>
        <v>0.432</v>
      </c>
      <c r="T9" s="21">
        <f t="shared" si="3"/>
        <v>1.2888</v>
      </c>
      <c r="U9" s="21">
        <f t="shared" si="4"/>
        <v>0.859374</v>
      </c>
      <c r="V9" s="21">
        <f t="shared" si="5"/>
        <v>0.288288</v>
      </c>
      <c r="W9" s="21">
        <f t="shared" si="6"/>
        <v>0.394128</v>
      </c>
      <c r="X9" s="21">
        <f t="shared" si="7"/>
        <v>0.054</v>
      </c>
      <c r="Y9" s="21">
        <f t="shared" si="8"/>
        <v>0.4584</v>
      </c>
      <c r="Z9" s="1"/>
      <c r="AA9" s="1"/>
      <c r="AB9" s="1"/>
      <c r="AC9" s="1"/>
    </row>
    <row r="10">
      <c r="B10" s="1"/>
      <c r="C10" s="17">
        <v>540.0</v>
      </c>
      <c r="D10" s="17">
        <v>600.0</v>
      </c>
      <c r="E10" s="17">
        <v>800.0</v>
      </c>
      <c r="F10" s="1"/>
      <c r="G10" s="19" t="b">
        <v>0</v>
      </c>
      <c r="H10" s="21">
        <v>3.0</v>
      </c>
      <c r="I10" s="19" t="b">
        <v>0</v>
      </c>
      <c r="J10" s="21">
        <v>224.0</v>
      </c>
      <c r="K10" s="21">
        <v>450.0</v>
      </c>
      <c r="L10" s="19" t="b">
        <v>1</v>
      </c>
      <c r="M10" s="21">
        <v>0.0</v>
      </c>
      <c r="N10" s="19" t="b">
        <v>1</v>
      </c>
      <c r="O10" s="21">
        <v>0.0</v>
      </c>
      <c r="P10" s="1"/>
      <c r="Q10" s="21">
        <f t="shared" si="9"/>
        <v>2.596302</v>
      </c>
      <c r="R10" s="41">
        <f t="shared" si="1"/>
        <v>2.596302</v>
      </c>
      <c r="S10" s="21">
        <f t="shared" si="2"/>
        <v>0.432</v>
      </c>
      <c r="T10" s="21">
        <f t="shared" si="3"/>
        <v>1.2888</v>
      </c>
      <c r="U10" s="21">
        <f t="shared" si="4"/>
        <v>0.859374</v>
      </c>
      <c r="V10" s="21">
        <f t="shared" si="5"/>
        <v>0.288288</v>
      </c>
      <c r="W10" s="21">
        <f t="shared" si="6"/>
        <v>0.394128</v>
      </c>
      <c r="X10" s="21">
        <f t="shared" si="7"/>
        <v>0.054</v>
      </c>
      <c r="Y10" s="21">
        <f t="shared" si="8"/>
        <v>0.4584</v>
      </c>
      <c r="Z10" s="1"/>
      <c r="AA10" s="1"/>
      <c r="AB10" s="1"/>
      <c r="AC10" s="1"/>
    </row>
    <row r="11">
      <c r="B11" s="1"/>
      <c r="C11" s="57">
        <v>780.0</v>
      </c>
      <c r="D11" s="57">
        <v>600.0</v>
      </c>
      <c r="E11" s="57">
        <v>800.0</v>
      </c>
      <c r="F11" s="1"/>
      <c r="G11" s="19" t="b">
        <v>0</v>
      </c>
      <c r="H11" s="21">
        <v>2.0</v>
      </c>
      <c r="I11" s="19" t="b">
        <v>0</v>
      </c>
      <c r="J11" s="21">
        <v>0.0</v>
      </c>
      <c r="K11" s="21">
        <v>0.0</v>
      </c>
      <c r="L11" s="19" t="b">
        <v>1</v>
      </c>
      <c r="M11" s="21">
        <v>0.0</v>
      </c>
      <c r="N11" s="19" t="b">
        <v>1</v>
      </c>
      <c r="O11" s="21">
        <v>0.0</v>
      </c>
      <c r="P11" s="1"/>
      <c r="Q11" s="21">
        <f t="shared" si="9"/>
        <v>2.524608</v>
      </c>
      <c r="R11" s="41">
        <f t="shared" si="1"/>
        <v>2.524608</v>
      </c>
      <c r="S11" s="21">
        <f t="shared" si="2"/>
        <v>0.624</v>
      </c>
      <c r="T11" s="21">
        <f t="shared" si="3"/>
        <v>1.8648</v>
      </c>
      <c r="U11" s="21">
        <f t="shared" si="4"/>
        <v>0</v>
      </c>
      <c r="V11" s="21">
        <f t="shared" si="5"/>
        <v>0.425568</v>
      </c>
      <c r="W11" s="21">
        <f t="shared" si="6"/>
        <v>0.581808</v>
      </c>
      <c r="X11" s="21">
        <f t="shared" si="7"/>
        <v>0.078</v>
      </c>
      <c r="Y11" s="21">
        <f t="shared" si="8"/>
        <v>0.4584</v>
      </c>
      <c r="Z11" s="1"/>
      <c r="AA11" s="1"/>
      <c r="AB11" s="1"/>
      <c r="AC11" s="1"/>
    </row>
    <row r="12">
      <c r="B12" s="1"/>
      <c r="C12" s="57">
        <v>600.0</v>
      </c>
      <c r="D12" s="57">
        <v>600.0</v>
      </c>
      <c r="E12" s="57">
        <v>800.0</v>
      </c>
      <c r="F12" s="1"/>
      <c r="G12" s="19" t="b">
        <v>0</v>
      </c>
      <c r="H12" s="21">
        <v>2.0</v>
      </c>
      <c r="I12" s="19" t="b">
        <v>0</v>
      </c>
      <c r="J12" s="21">
        <v>0.0</v>
      </c>
      <c r="K12" s="21">
        <v>0.0</v>
      </c>
      <c r="L12" s="19" t="b">
        <v>1</v>
      </c>
      <c r="M12" s="21">
        <v>0.0</v>
      </c>
      <c r="N12" s="19" t="b">
        <v>1</v>
      </c>
      <c r="O12" s="21">
        <v>0.0</v>
      </c>
      <c r="P12" s="1"/>
      <c r="Q12" s="21">
        <f t="shared" si="9"/>
        <v>1.933848</v>
      </c>
      <c r="R12" s="41">
        <f t="shared" si="1"/>
        <v>1.933848</v>
      </c>
      <c r="S12" s="21">
        <f t="shared" si="2"/>
        <v>0.48</v>
      </c>
      <c r="T12" s="21">
        <f t="shared" si="3"/>
        <v>1.4328</v>
      </c>
      <c r="U12" s="21">
        <f t="shared" si="4"/>
        <v>0</v>
      </c>
      <c r="V12" s="21">
        <f t="shared" si="5"/>
        <v>0.322608</v>
      </c>
      <c r="W12" s="21">
        <f t="shared" si="6"/>
        <v>0.441048</v>
      </c>
      <c r="X12" s="21">
        <f t="shared" si="7"/>
        <v>0.06</v>
      </c>
      <c r="Y12" s="21">
        <f t="shared" si="8"/>
        <v>0.4584</v>
      </c>
      <c r="Z12" s="1"/>
      <c r="AA12" s="1"/>
      <c r="AB12" s="1"/>
      <c r="AC12" s="1"/>
    </row>
    <row r="13">
      <c r="B13" s="1"/>
      <c r="C13" s="57">
        <v>600.0</v>
      </c>
      <c r="D13" s="57">
        <v>600.0</v>
      </c>
      <c r="E13" s="57">
        <v>800.0</v>
      </c>
      <c r="F13" s="1"/>
      <c r="G13" s="19" t="b">
        <v>0</v>
      </c>
      <c r="H13" s="21">
        <v>0.0</v>
      </c>
      <c r="I13" s="19" t="b">
        <v>0</v>
      </c>
      <c r="J13" s="21">
        <v>83.0</v>
      </c>
      <c r="K13" s="21">
        <v>550.0</v>
      </c>
      <c r="L13" s="19" t="b">
        <v>1</v>
      </c>
      <c r="M13" s="21">
        <v>0.0</v>
      </c>
      <c r="N13" s="19" t="b">
        <v>1</v>
      </c>
      <c r="O13" s="21">
        <v>0.0</v>
      </c>
      <c r="P13" s="1"/>
      <c r="Q13" s="21">
        <f t="shared" si="9"/>
        <v>1.933848</v>
      </c>
      <c r="R13" s="41">
        <f t="shared" si="1"/>
        <v>1.933848</v>
      </c>
      <c r="S13" s="21">
        <f t="shared" si="2"/>
        <v>0.48</v>
      </c>
      <c r="T13" s="21">
        <f t="shared" si="3"/>
        <v>1.4328</v>
      </c>
      <c r="U13" s="21">
        <f t="shared" si="4"/>
        <v>0</v>
      </c>
      <c r="V13" s="21">
        <f t="shared" si="5"/>
        <v>0.322608</v>
      </c>
      <c r="W13" s="21">
        <f t="shared" si="6"/>
        <v>0.441048</v>
      </c>
      <c r="X13" s="21">
        <f t="shared" si="7"/>
        <v>0.06</v>
      </c>
      <c r="Y13" s="21">
        <f t="shared" si="8"/>
        <v>0.4584</v>
      </c>
      <c r="Z13" s="1"/>
      <c r="AA13" s="1"/>
      <c r="AB13" s="1"/>
      <c r="AC13" s="1"/>
    </row>
    <row r="14">
      <c r="B14" s="1"/>
      <c r="C14" s="57">
        <v>600.0</v>
      </c>
      <c r="D14" s="57">
        <v>600.0</v>
      </c>
      <c r="E14" s="57">
        <v>1400.0</v>
      </c>
      <c r="F14" s="1"/>
      <c r="G14" s="19" t="b">
        <v>0</v>
      </c>
      <c r="H14" s="21">
        <v>0.0</v>
      </c>
      <c r="I14" s="19" t="b">
        <v>0</v>
      </c>
      <c r="J14" s="21">
        <v>0.0</v>
      </c>
      <c r="K14" s="21">
        <v>0.0</v>
      </c>
      <c r="L14" s="19" t="b">
        <v>1</v>
      </c>
      <c r="M14" s="21">
        <v>1.0</v>
      </c>
      <c r="N14" s="19" t="b">
        <v>1</v>
      </c>
      <c r="O14" s="21">
        <v>0.0</v>
      </c>
      <c r="P14" s="1"/>
      <c r="Q14" s="21">
        <f t="shared" si="9"/>
        <v>3.314856</v>
      </c>
      <c r="R14" s="41">
        <f t="shared" si="1"/>
        <v>3.314856</v>
      </c>
      <c r="S14" s="21">
        <f t="shared" si="2"/>
        <v>0.84</v>
      </c>
      <c r="T14" s="21">
        <f t="shared" si="3"/>
        <v>2.1528</v>
      </c>
      <c r="U14" s="21">
        <f t="shared" si="4"/>
        <v>0</v>
      </c>
      <c r="V14" s="21">
        <f t="shared" si="5"/>
        <v>0.322608</v>
      </c>
      <c r="W14" s="21">
        <f t="shared" si="6"/>
        <v>0.779448</v>
      </c>
      <c r="X14" s="21">
        <f t="shared" si="7"/>
        <v>0.06</v>
      </c>
      <c r="Y14" s="21">
        <f t="shared" si="8"/>
        <v>0.8184</v>
      </c>
      <c r="Z14" s="1"/>
      <c r="AA14" s="1"/>
      <c r="AB14" s="1"/>
      <c r="AC14" s="1"/>
    </row>
    <row r="15">
      <c r="B15" s="1"/>
      <c r="C15" s="57">
        <v>600.0</v>
      </c>
      <c r="D15" s="57">
        <v>600.0</v>
      </c>
      <c r="E15" s="57">
        <v>714.0</v>
      </c>
      <c r="F15" s="1"/>
      <c r="G15" s="19" t="b">
        <v>0</v>
      </c>
      <c r="H15" s="21">
        <v>0.0</v>
      </c>
      <c r="I15" s="19" t="b">
        <v>0</v>
      </c>
      <c r="J15" s="21">
        <v>0.0</v>
      </c>
      <c r="K15" s="21">
        <v>0.0</v>
      </c>
      <c r="L15" s="19" t="b">
        <v>1</v>
      </c>
      <c r="M15" s="21">
        <v>1.0</v>
      </c>
      <c r="N15" s="19" t="b">
        <v>1</v>
      </c>
      <c r="O15" s="21">
        <v>0.0</v>
      </c>
      <c r="P15" s="1"/>
      <c r="Q15" s="21">
        <f t="shared" si="9"/>
        <v>2.104752</v>
      </c>
      <c r="R15" s="41">
        <f t="shared" si="1"/>
        <v>2.104752</v>
      </c>
      <c r="S15" s="21">
        <f t="shared" si="2"/>
        <v>0.4284</v>
      </c>
      <c r="T15" s="21">
        <f t="shared" si="3"/>
        <v>1.3296</v>
      </c>
      <c r="U15" s="21">
        <f t="shared" si="4"/>
        <v>0</v>
      </c>
      <c r="V15" s="21">
        <f t="shared" si="5"/>
        <v>0.322608</v>
      </c>
      <c r="W15" s="21">
        <f t="shared" si="6"/>
        <v>0.392544</v>
      </c>
      <c r="X15" s="21">
        <f t="shared" si="7"/>
        <v>0.06</v>
      </c>
      <c r="Y15" s="21">
        <f t="shared" si="8"/>
        <v>0.4068</v>
      </c>
      <c r="Z15" s="1"/>
      <c r="AA15" s="1"/>
      <c r="AB15" s="1"/>
      <c r="AC15" s="1"/>
    </row>
    <row r="16">
      <c r="B16" s="1"/>
      <c r="C16" s="57">
        <v>600.0</v>
      </c>
      <c r="D16" s="57">
        <v>600.0</v>
      </c>
      <c r="E16" s="57">
        <v>714.0</v>
      </c>
      <c r="F16" s="1"/>
      <c r="G16" s="19" t="b">
        <v>0</v>
      </c>
      <c r="H16" s="21">
        <v>0.0</v>
      </c>
      <c r="I16" s="19" t="b">
        <v>0</v>
      </c>
      <c r="J16" s="21">
        <v>0.0</v>
      </c>
      <c r="K16" s="21">
        <v>0.0</v>
      </c>
      <c r="L16" s="19" t="b">
        <v>1</v>
      </c>
      <c r="M16" s="21">
        <v>1.0</v>
      </c>
      <c r="N16" s="19" t="b">
        <v>1</v>
      </c>
      <c r="O16" s="21">
        <v>0.0</v>
      </c>
      <c r="P16" s="1"/>
      <c r="Q16" s="21">
        <f t="shared" si="9"/>
        <v>2.104752</v>
      </c>
      <c r="R16" s="41">
        <f t="shared" si="1"/>
        <v>2.104752</v>
      </c>
      <c r="S16" s="21">
        <f t="shared" si="2"/>
        <v>0.4284</v>
      </c>
      <c r="T16" s="21">
        <f t="shared" si="3"/>
        <v>1.3296</v>
      </c>
      <c r="U16" s="21">
        <f t="shared" si="4"/>
        <v>0</v>
      </c>
      <c r="V16" s="21">
        <f t="shared" si="5"/>
        <v>0.322608</v>
      </c>
      <c r="W16" s="21">
        <f t="shared" si="6"/>
        <v>0.392544</v>
      </c>
      <c r="X16" s="21">
        <f t="shared" si="7"/>
        <v>0.06</v>
      </c>
      <c r="Y16" s="21">
        <f t="shared" si="8"/>
        <v>0.4068</v>
      </c>
      <c r="Z16" s="1"/>
      <c r="AA16" s="1"/>
      <c r="AB16" s="1"/>
      <c r="AC16" s="1"/>
    </row>
    <row r="17">
      <c r="B17" s="1"/>
      <c r="C17" s="57">
        <v>600.0</v>
      </c>
      <c r="D17" s="57">
        <v>600.0</v>
      </c>
      <c r="E17" s="57">
        <v>714.0</v>
      </c>
      <c r="F17" s="1"/>
      <c r="G17" s="19" t="b">
        <v>0</v>
      </c>
      <c r="H17" s="21">
        <v>0.0</v>
      </c>
      <c r="I17" s="19" t="b">
        <v>0</v>
      </c>
      <c r="J17" s="21">
        <v>0.0</v>
      </c>
      <c r="K17" s="21">
        <v>0.0</v>
      </c>
      <c r="L17" s="19" t="b">
        <v>1</v>
      </c>
      <c r="M17" s="21">
        <v>1.0</v>
      </c>
      <c r="N17" s="19" t="b">
        <v>1</v>
      </c>
      <c r="O17" s="21">
        <v>0.0</v>
      </c>
      <c r="P17" s="1"/>
      <c r="Q17" s="21">
        <f t="shared" si="9"/>
        <v>2.104752</v>
      </c>
      <c r="R17" s="41">
        <f t="shared" si="1"/>
        <v>2.104752</v>
      </c>
      <c r="S17" s="21">
        <f t="shared" si="2"/>
        <v>0.4284</v>
      </c>
      <c r="T17" s="21">
        <f t="shared" si="3"/>
        <v>1.3296</v>
      </c>
      <c r="U17" s="21">
        <f t="shared" si="4"/>
        <v>0</v>
      </c>
      <c r="V17" s="21">
        <f t="shared" si="5"/>
        <v>0.322608</v>
      </c>
      <c r="W17" s="21">
        <f t="shared" si="6"/>
        <v>0.392544</v>
      </c>
      <c r="X17" s="21">
        <f t="shared" si="7"/>
        <v>0.06</v>
      </c>
      <c r="Y17" s="21">
        <f t="shared" si="8"/>
        <v>0.4068</v>
      </c>
      <c r="Z17" s="1"/>
      <c r="AA17" s="1"/>
      <c r="AB17" s="1"/>
      <c r="AC17" s="1"/>
    </row>
    <row r="18">
      <c r="B18" s="1"/>
      <c r="C18" s="57">
        <v>446.0</v>
      </c>
      <c r="D18" s="57">
        <v>600.0</v>
      </c>
      <c r="E18" s="57">
        <v>714.0</v>
      </c>
      <c r="F18" s="1"/>
      <c r="G18" s="19" t="b">
        <v>0</v>
      </c>
      <c r="H18" s="21">
        <v>0.0</v>
      </c>
      <c r="I18" s="19" t="b">
        <v>0</v>
      </c>
      <c r="J18" s="21">
        <v>0.0</v>
      </c>
      <c r="K18" s="21">
        <v>0.0</v>
      </c>
      <c r="L18" s="19" t="b">
        <v>1</v>
      </c>
      <c r="M18" s="21">
        <v>1.0</v>
      </c>
      <c r="N18" s="19" t="b">
        <v>1</v>
      </c>
      <c r="O18" s="21">
        <v>0.0</v>
      </c>
      <c r="P18" s="1"/>
      <c r="Q18" s="21">
        <f t="shared" si="9"/>
        <v>1.550968</v>
      </c>
      <c r="R18" s="41">
        <f t="shared" si="1"/>
        <v>1.550968</v>
      </c>
      <c r="S18" s="21">
        <f t="shared" si="2"/>
        <v>0.318444</v>
      </c>
      <c r="T18" s="21">
        <f t="shared" si="3"/>
        <v>0.986488</v>
      </c>
      <c r="U18" s="21">
        <f t="shared" si="4"/>
        <v>0</v>
      </c>
      <c r="V18" s="21">
        <f t="shared" si="5"/>
        <v>0.23452</v>
      </c>
      <c r="W18" s="21">
        <f t="shared" si="6"/>
        <v>0.28536</v>
      </c>
      <c r="X18" s="21">
        <f t="shared" si="7"/>
        <v>0.0446</v>
      </c>
      <c r="Y18" s="21">
        <f t="shared" si="8"/>
        <v>0.4068</v>
      </c>
      <c r="Z18" s="1"/>
      <c r="AA18" s="1"/>
      <c r="AB18" s="1"/>
      <c r="AC18" s="1"/>
    </row>
    <row r="19">
      <c r="B19" s="1"/>
      <c r="C19" s="57">
        <v>446.0</v>
      </c>
      <c r="D19" s="57">
        <v>600.0</v>
      </c>
      <c r="E19" s="57">
        <v>900.0</v>
      </c>
      <c r="F19" s="1"/>
      <c r="G19" s="19" t="b">
        <v>0</v>
      </c>
      <c r="H19" s="21">
        <v>0.0</v>
      </c>
      <c r="I19" s="19" t="b">
        <v>0</v>
      </c>
      <c r="J19" s="21">
        <v>0.0</v>
      </c>
      <c r="K19" s="21">
        <v>0.0</v>
      </c>
      <c r="L19" s="19" t="b">
        <v>1</v>
      </c>
      <c r="M19" s="21">
        <v>2.0</v>
      </c>
      <c r="N19" s="19" t="b">
        <v>1</v>
      </c>
      <c r="O19" s="21">
        <v>0.0</v>
      </c>
      <c r="P19" s="1"/>
      <c r="Q19" s="21">
        <f t="shared" si="9"/>
        <v>1.79314</v>
      </c>
      <c r="R19" s="41">
        <f t="shared" si="1"/>
        <v>1.79314</v>
      </c>
      <c r="S19" s="21">
        <f t="shared" si="2"/>
        <v>0.4014</v>
      </c>
      <c r="T19" s="21">
        <f t="shared" si="3"/>
        <v>1.1524</v>
      </c>
      <c r="U19" s="21">
        <f t="shared" si="4"/>
        <v>0</v>
      </c>
      <c r="V19" s="21">
        <f t="shared" si="5"/>
        <v>0.23452</v>
      </c>
      <c r="W19" s="21">
        <f t="shared" si="6"/>
        <v>0.36162</v>
      </c>
      <c r="X19" s="21">
        <f t="shared" si="7"/>
        <v>0.0446</v>
      </c>
      <c r="Y19" s="21">
        <f t="shared" si="8"/>
        <v>0.5184</v>
      </c>
      <c r="Z19" s="1"/>
      <c r="AA19" s="1"/>
      <c r="AB19" s="1"/>
      <c r="AC19" s="1"/>
    </row>
    <row r="20">
      <c r="B20" s="1"/>
      <c r="C20" s="57">
        <v>600.0</v>
      </c>
      <c r="D20" s="57">
        <v>600.0</v>
      </c>
      <c r="E20" s="57">
        <v>900.0</v>
      </c>
      <c r="F20" s="1"/>
      <c r="G20" s="19" t="b">
        <v>0</v>
      </c>
      <c r="H20" s="21">
        <v>0.0</v>
      </c>
      <c r="I20" s="19" t="b">
        <v>0</v>
      </c>
      <c r="J20" s="21">
        <v>0.0</v>
      </c>
      <c r="K20" s="21">
        <v>0.0</v>
      </c>
      <c r="L20" s="19" t="b">
        <v>1</v>
      </c>
      <c r="M20" s="21">
        <v>2.0</v>
      </c>
      <c r="N20" s="19" t="b">
        <v>1</v>
      </c>
      <c r="O20" s="21">
        <v>0.0</v>
      </c>
      <c r="P20" s="1"/>
      <c r="Q20" s="21">
        <f t="shared" si="9"/>
        <v>2.432856</v>
      </c>
      <c r="R20" s="41">
        <f t="shared" si="1"/>
        <v>2.432856</v>
      </c>
      <c r="S20" s="21">
        <f t="shared" si="2"/>
        <v>0.54</v>
      </c>
      <c r="T20" s="21">
        <f t="shared" si="3"/>
        <v>1.5528</v>
      </c>
      <c r="U20" s="21">
        <f t="shared" si="4"/>
        <v>0</v>
      </c>
      <c r="V20" s="21">
        <f t="shared" si="5"/>
        <v>0.322608</v>
      </c>
      <c r="W20" s="21">
        <f t="shared" si="6"/>
        <v>0.497448</v>
      </c>
      <c r="X20" s="21">
        <f t="shared" si="7"/>
        <v>0.06</v>
      </c>
      <c r="Y20" s="21">
        <f t="shared" si="8"/>
        <v>0.5184</v>
      </c>
      <c r="Z20" s="1"/>
      <c r="AA20" s="1"/>
      <c r="AB20" s="1"/>
      <c r="AC20" s="1"/>
    </row>
    <row r="21" ht="15.75" customHeight="1">
      <c r="B21" s="1"/>
      <c r="C21" s="57">
        <v>600.0</v>
      </c>
      <c r="D21" s="57">
        <v>600.0</v>
      </c>
      <c r="E21" s="57">
        <v>600.0</v>
      </c>
      <c r="F21" s="1"/>
      <c r="G21" s="19" t="b">
        <v>0</v>
      </c>
      <c r="H21" s="21">
        <v>0.0</v>
      </c>
      <c r="I21" s="19" t="b">
        <v>0</v>
      </c>
      <c r="J21" s="21">
        <v>0.0</v>
      </c>
      <c r="K21" s="21">
        <v>0.0</v>
      </c>
      <c r="L21" s="19" t="b">
        <v>1</v>
      </c>
      <c r="M21" s="21">
        <v>5.0</v>
      </c>
      <c r="N21" s="19" t="b">
        <v>1</v>
      </c>
      <c r="O21" s="21">
        <v>0.0</v>
      </c>
      <c r="P21" s="1"/>
      <c r="Q21" s="21">
        <f t="shared" si="9"/>
        <v>1.903656</v>
      </c>
      <c r="R21" s="41">
        <f t="shared" si="1"/>
        <v>1.903656</v>
      </c>
      <c r="S21" s="21">
        <f t="shared" si="2"/>
        <v>0.36</v>
      </c>
      <c r="T21" s="21">
        <f t="shared" si="3"/>
        <v>1.1928</v>
      </c>
      <c r="U21" s="21">
        <f t="shared" si="4"/>
        <v>0</v>
      </c>
      <c r="V21" s="21">
        <f t="shared" si="5"/>
        <v>0.322608</v>
      </c>
      <c r="W21" s="21">
        <f t="shared" si="6"/>
        <v>0.328248</v>
      </c>
      <c r="X21" s="21">
        <f t="shared" si="7"/>
        <v>0.06</v>
      </c>
      <c r="Y21" s="21">
        <f t="shared" si="8"/>
        <v>0.3384</v>
      </c>
      <c r="Z21" s="1"/>
      <c r="AA21" s="1"/>
      <c r="AB21" s="1"/>
      <c r="AC21" s="1"/>
    </row>
    <row r="22" ht="15.75" customHeight="1">
      <c r="B22" s="1"/>
      <c r="C22" s="57">
        <v>350.0</v>
      </c>
      <c r="D22" s="57">
        <v>600.0</v>
      </c>
      <c r="E22" s="57">
        <v>900.0</v>
      </c>
      <c r="F22" s="1"/>
      <c r="G22" s="19" t="b">
        <v>0</v>
      </c>
      <c r="H22" s="21">
        <v>0.0</v>
      </c>
      <c r="I22" s="19" t="b">
        <v>0</v>
      </c>
      <c r="J22" s="21">
        <v>0.0</v>
      </c>
      <c r="K22" s="21">
        <v>0.0</v>
      </c>
      <c r="L22" s="19" t="b">
        <v>1</v>
      </c>
      <c r="M22" s="21">
        <v>2.0</v>
      </c>
      <c r="N22" s="19" t="b">
        <v>1</v>
      </c>
      <c r="O22" s="21">
        <v>0.0</v>
      </c>
      <c r="P22" s="1"/>
      <c r="Q22" s="21">
        <f t="shared" si="9"/>
        <v>1.394356</v>
      </c>
      <c r="R22" s="41">
        <f t="shared" si="1"/>
        <v>1.394356</v>
      </c>
      <c r="S22" s="21">
        <f t="shared" si="2"/>
        <v>0.315</v>
      </c>
      <c r="T22" s="21">
        <f t="shared" si="3"/>
        <v>0.9028</v>
      </c>
      <c r="U22" s="21">
        <f t="shared" si="4"/>
        <v>0</v>
      </c>
      <c r="V22" s="21">
        <f t="shared" si="5"/>
        <v>0.179608</v>
      </c>
      <c r="W22" s="21">
        <f t="shared" si="6"/>
        <v>0.276948</v>
      </c>
      <c r="X22" s="21">
        <f t="shared" si="7"/>
        <v>0.035</v>
      </c>
      <c r="Y22" s="21">
        <f t="shared" si="8"/>
        <v>0.5184</v>
      </c>
      <c r="Z22" s="1"/>
      <c r="AA22" s="1"/>
      <c r="AB22" s="1"/>
      <c r="AC22" s="1"/>
    </row>
    <row r="23" ht="15.75" customHeight="1">
      <c r="B23" s="1"/>
      <c r="C23" s="57">
        <v>446.0</v>
      </c>
      <c r="D23" s="57">
        <v>600.0</v>
      </c>
      <c r="E23" s="57">
        <v>900.0</v>
      </c>
      <c r="F23" s="1"/>
      <c r="G23" s="19" t="b">
        <v>0</v>
      </c>
      <c r="H23" s="21">
        <v>0.0</v>
      </c>
      <c r="I23" s="19" t="b">
        <v>0</v>
      </c>
      <c r="J23" s="21">
        <v>0.0</v>
      </c>
      <c r="K23" s="21">
        <v>0.0</v>
      </c>
      <c r="L23" s="19" t="b">
        <v>1</v>
      </c>
      <c r="M23" s="21">
        <v>2.0</v>
      </c>
      <c r="N23" s="19" t="b">
        <v>1</v>
      </c>
      <c r="O23" s="21">
        <v>0.0</v>
      </c>
      <c r="P23" s="1"/>
      <c r="Q23" s="21">
        <f t="shared" si="9"/>
        <v>1.79314</v>
      </c>
      <c r="R23" s="41">
        <f t="shared" si="1"/>
        <v>1.79314</v>
      </c>
      <c r="S23" s="21">
        <f t="shared" si="2"/>
        <v>0.4014</v>
      </c>
      <c r="T23" s="21">
        <f t="shared" si="3"/>
        <v>1.1524</v>
      </c>
      <c r="U23" s="21">
        <f t="shared" si="4"/>
        <v>0</v>
      </c>
      <c r="V23" s="21">
        <f t="shared" si="5"/>
        <v>0.23452</v>
      </c>
      <c r="W23" s="21">
        <f t="shared" si="6"/>
        <v>0.36162</v>
      </c>
      <c r="X23" s="21">
        <f t="shared" si="7"/>
        <v>0.0446</v>
      </c>
      <c r="Y23" s="21">
        <f t="shared" si="8"/>
        <v>0.5184</v>
      </c>
      <c r="Z23" s="1"/>
      <c r="AA23" s="1"/>
      <c r="AB23" s="1"/>
      <c r="AC23" s="1"/>
    </row>
    <row r="24" ht="15.75" customHeight="1">
      <c r="B24" s="1"/>
      <c r="C24" s="57">
        <v>600.0</v>
      </c>
      <c r="D24" s="57">
        <v>600.0</v>
      </c>
      <c r="E24" s="57">
        <v>900.0</v>
      </c>
      <c r="F24" s="1"/>
      <c r="G24" s="19" t="b">
        <v>0</v>
      </c>
      <c r="H24" s="21">
        <v>0.0</v>
      </c>
      <c r="I24" s="19" t="b">
        <v>0</v>
      </c>
      <c r="J24" s="21">
        <v>0.0</v>
      </c>
      <c r="K24" s="21">
        <v>0.0</v>
      </c>
      <c r="L24" s="19" t="b">
        <v>1</v>
      </c>
      <c r="M24" s="21">
        <v>2.0</v>
      </c>
      <c r="N24" s="19" t="b">
        <v>1</v>
      </c>
      <c r="O24" s="21">
        <v>0.0</v>
      </c>
      <c r="P24" s="1"/>
      <c r="Q24" s="21">
        <f t="shared" si="9"/>
        <v>2.432856</v>
      </c>
      <c r="R24" s="41">
        <f t="shared" si="1"/>
        <v>2.432856</v>
      </c>
      <c r="S24" s="21">
        <f t="shared" si="2"/>
        <v>0.54</v>
      </c>
      <c r="T24" s="21">
        <f t="shared" si="3"/>
        <v>1.5528</v>
      </c>
      <c r="U24" s="21">
        <f t="shared" si="4"/>
        <v>0</v>
      </c>
      <c r="V24" s="21">
        <f t="shared" si="5"/>
        <v>0.322608</v>
      </c>
      <c r="W24" s="21">
        <f t="shared" si="6"/>
        <v>0.497448</v>
      </c>
      <c r="X24" s="21">
        <f t="shared" si="7"/>
        <v>0.06</v>
      </c>
      <c r="Y24" s="21">
        <f t="shared" si="8"/>
        <v>0.5184</v>
      </c>
      <c r="Z24" s="1"/>
      <c r="AA24" s="1"/>
      <c r="AB24" s="1"/>
      <c r="AC24" s="1"/>
    </row>
    <row r="25" ht="15.75" customHeight="1">
      <c r="B25" s="1"/>
      <c r="C25" s="57">
        <v>736.0</v>
      </c>
      <c r="D25" s="57">
        <v>370.0</v>
      </c>
      <c r="E25" s="57">
        <v>1550.0</v>
      </c>
      <c r="F25" s="1"/>
      <c r="G25" s="19" t="b">
        <v>0</v>
      </c>
      <c r="H25" s="21">
        <v>0.0</v>
      </c>
      <c r="I25" s="19" t="b">
        <v>0</v>
      </c>
      <c r="J25" s="21">
        <v>0.0</v>
      </c>
      <c r="K25" s="21">
        <v>0.0</v>
      </c>
      <c r="L25" s="19" t="b">
        <v>1</v>
      </c>
      <c r="M25" s="21">
        <v>3.0</v>
      </c>
      <c r="N25" s="19" t="b">
        <v>1</v>
      </c>
      <c r="O25" s="21">
        <v>0.0</v>
      </c>
      <c r="P25" s="1"/>
      <c r="Q25" s="21">
        <f t="shared" si="9"/>
        <v>4.07932</v>
      </c>
      <c r="R25" s="41">
        <f t="shared" si="1"/>
        <v>4.07932</v>
      </c>
      <c r="S25" s="21">
        <f t="shared" si="2"/>
        <v>1.1408</v>
      </c>
      <c r="T25" s="21">
        <f t="shared" si="3"/>
        <v>2.69392</v>
      </c>
      <c r="U25" s="21">
        <f t="shared" si="4"/>
        <v>0</v>
      </c>
      <c r="V25" s="21">
        <f t="shared" si="5"/>
        <v>0.2394</v>
      </c>
      <c r="W25" s="21">
        <f t="shared" si="6"/>
        <v>1.0724</v>
      </c>
      <c r="X25" s="21">
        <f t="shared" si="7"/>
        <v>0.0736</v>
      </c>
      <c r="Y25" s="21">
        <f t="shared" si="8"/>
        <v>0.56018</v>
      </c>
      <c r="Z25" s="1"/>
      <c r="AA25" s="1"/>
      <c r="AB25" s="1"/>
      <c r="AC25" s="1"/>
    </row>
    <row r="26" ht="15.75" customHeight="1">
      <c r="B26" s="1"/>
      <c r="C26" s="57">
        <v>500.0</v>
      </c>
      <c r="D26" s="57">
        <v>600.0</v>
      </c>
      <c r="E26" s="57">
        <v>900.0</v>
      </c>
      <c r="F26" s="1"/>
      <c r="G26" s="19" t="b">
        <v>0</v>
      </c>
      <c r="H26" s="21">
        <v>0.0</v>
      </c>
      <c r="I26" s="19" t="b">
        <v>0</v>
      </c>
      <c r="J26" s="21">
        <v>0.0</v>
      </c>
      <c r="K26" s="21">
        <v>0.0</v>
      </c>
      <c r="L26" s="19" t="b">
        <v>1</v>
      </c>
      <c r="M26" s="21">
        <v>1.0</v>
      </c>
      <c r="N26" s="19" t="b">
        <v>1</v>
      </c>
      <c r="O26" s="21">
        <v>0.0</v>
      </c>
      <c r="P26" s="1"/>
      <c r="Q26" s="21">
        <f t="shared" si="9"/>
        <v>2.017456</v>
      </c>
      <c r="R26" s="41">
        <f t="shared" si="1"/>
        <v>2.017456</v>
      </c>
      <c r="S26" s="21">
        <f t="shared" si="2"/>
        <v>0.45</v>
      </c>
      <c r="T26" s="21">
        <f t="shared" si="3"/>
        <v>1.2928</v>
      </c>
      <c r="U26" s="21">
        <f t="shared" si="4"/>
        <v>0</v>
      </c>
      <c r="V26" s="21">
        <f t="shared" si="5"/>
        <v>0.265408</v>
      </c>
      <c r="W26" s="21">
        <f t="shared" si="6"/>
        <v>0.409248</v>
      </c>
      <c r="X26" s="21">
        <f t="shared" si="7"/>
        <v>0.05</v>
      </c>
      <c r="Y26" s="21">
        <f t="shared" si="8"/>
        <v>0.5184</v>
      </c>
      <c r="Z26" s="1"/>
      <c r="AA26" s="1"/>
      <c r="AB26" s="1"/>
      <c r="AC26" s="1"/>
    </row>
    <row r="27" ht="15.75" customHeight="1">
      <c r="B27" s="1"/>
      <c r="C27" s="57">
        <v>500.0</v>
      </c>
      <c r="D27" s="57">
        <v>600.0</v>
      </c>
      <c r="E27" s="57">
        <v>900.0</v>
      </c>
      <c r="F27" s="1"/>
      <c r="G27" s="19" t="b">
        <v>0</v>
      </c>
      <c r="H27" s="21">
        <v>0.0</v>
      </c>
      <c r="I27" s="19" t="b">
        <v>0</v>
      </c>
      <c r="J27" s="21">
        <v>0.0</v>
      </c>
      <c r="K27" s="21">
        <v>0.0</v>
      </c>
      <c r="L27" s="19" t="b">
        <v>1</v>
      </c>
      <c r="M27" s="21">
        <v>0.0</v>
      </c>
      <c r="N27" s="19" t="b">
        <v>1</v>
      </c>
      <c r="O27" s="21">
        <v>0.0</v>
      </c>
      <c r="P27" s="1"/>
      <c r="Q27" s="21">
        <f t="shared" si="9"/>
        <v>1.752048</v>
      </c>
      <c r="R27" s="41">
        <f t="shared" si="1"/>
        <v>1.752048</v>
      </c>
      <c r="S27" s="21">
        <f t="shared" si="2"/>
        <v>0.45</v>
      </c>
      <c r="T27" s="21">
        <f t="shared" si="3"/>
        <v>1.2928</v>
      </c>
      <c r="U27" s="21">
        <f t="shared" si="4"/>
        <v>0</v>
      </c>
      <c r="V27" s="21">
        <f t="shared" si="5"/>
        <v>0.265408</v>
      </c>
      <c r="W27" s="21">
        <f t="shared" si="6"/>
        <v>0.409248</v>
      </c>
      <c r="X27" s="21">
        <f t="shared" si="7"/>
        <v>0.05</v>
      </c>
      <c r="Y27" s="21">
        <f t="shared" si="8"/>
        <v>0.5184</v>
      </c>
      <c r="Z27" s="1"/>
      <c r="AA27" s="1"/>
      <c r="AB27" s="1"/>
      <c r="AC27" s="1"/>
    </row>
    <row r="28" ht="15.75" customHeight="1">
      <c r="B28" s="1"/>
      <c r="C28" s="57">
        <v>600.0</v>
      </c>
      <c r="D28" s="57">
        <v>600.0</v>
      </c>
      <c r="E28" s="57">
        <v>900.0</v>
      </c>
      <c r="F28" s="1"/>
      <c r="G28" s="19" t="b">
        <v>0</v>
      </c>
      <c r="H28" s="21">
        <v>0.0</v>
      </c>
      <c r="I28" s="19" t="b">
        <v>0</v>
      </c>
      <c r="J28" s="21">
        <v>0.0</v>
      </c>
      <c r="K28" s="21">
        <v>0.0</v>
      </c>
      <c r="L28" s="19" t="b">
        <v>1</v>
      </c>
      <c r="M28" s="21">
        <v>0.0</v>
      </c>
      <c r="N28" s="19" t="b">
        <v>1</v>
      </c>
      <c r="O28" s="21">
        <v>0.0</v>
      </c>
      <c r="P28" s="1"/>
      <c r="Q28" s="21">
        <f t="shared" si="9"/>
        <v>2.110248</v>
      </c>
      <c r="R28" s="41">
        <f t="shared" si="1"/>
        <v>2.110248</v>
      </c>
      <c r="S28" s="21">
        <f t="shared" si="2"/>
        <v>0.54</v>
      </c>
      <c r="T28" s="21">
        <f t="shared" si="3"/>
        <v>1.5528</v>
      </c>
      <c r="U28" s="21">
        <f t="shared" si="4"/>
        <v>0</v>
      </c>
      <c r="V28" s="21">
        <f t="shared" si="5"/>
        <v>0.322608</v>
      </c>
      <c r="W28" s="21">
        <f t="shared" si="6"/>
        <v>0.497448</v>
      </c>
      <c r="X28" s="21">
        <f t="shared" si="7"/>
        <v>0.06</v>
      </c>
      <c r="Y28" s="21">
        <f t="shared" si="8"/>
        <v>0.5184</v>
      </c>
      <c r="Z28" s="1"/>
      <c r="AA28" s="1"/>
      <c r="AB28" s="1"/>
      <c r="AC28" s="1"/>
    </row>
    <row r="29" ht="15.75" customHeight="1">
      <c r="B29" s="1"/>
      <c r="C29" s="57">
        <v>600.0</v>
      </c>
      <c r="D29" s="57">
        <v>600.0</v>
      </c>
      <c r="E29" s="57">
        <v>900.0</v>
      </c>
      <c r="F29" s="1"/>
      <c r="G29" s="19" t="b">
        <v>0</v>
      </c>
      <c r="H29" s="21">
        <v>0.0</v>
      </c>
      <c r="I29" s="19" t="b">
        <v>0</v>
      </c>
      <c r="J29" s="21">
        <v>0.0</v>
      </c>
      <c r="K29" s="21">
        <v>0.0</v>
      </c>
      <c r="L29" s="19" t="b">
        <v>1</v>
      </c>
      <c r="M29" s="21">
        <v>0.0</v>
      </c>
      <c r="N29" s="19" t="b">
        <v>1</v>
      </c>
      <c r="O29" s="21">
        <v>0.0</v>
      </c>
      <c r="P29" s="1"/>
      <c r="Q29" s="21">
        <f t="shared" si="9"/>
        <v>2.110248</v>
      </c>
      <c r="R29" s="41">
        <f t="shared" si="1"/>
        <v>2.110248</v>
      </c>
      <c r="S29" s="21">
        <f t="shared" si="2"/>
        <v>0.54</v>
      </c>
      <c r="T29" s="21">
        <f t="shared" si="3"/>
        <v>1.5528</v>
      </c>
      <c r="U29" s="21">
        <f t="shared" si="4"/>
        <v>0</v>
      </c>
      <c r="V29" s="21">
        <f t="shared" si="5"/>
        <v>0.322608</v>
      </c>
      <c r="W29" s="21">
        <f t="shared" si="6"/>
        <v>0.497448</v>
      </c>
      <c r="X29" s="21">
        <f t="shared" si="7"/>
        <v>0.06</v>
      </c>
      <c r="Y29" s="21">
        <f t="shared" si="8"/>
        <v>0.5184</v>
      </c>
      <c r="Z29" s="1"/>
      <c r="AA29" s="1"/>
      <c r="AB29" s="1"/>
      <c r="AC29" s="1"/>
    </row>
    <row r="30" ht="15.75" customHeight="1">
      <c r="B30" s="1"/>
      <c r="C30" s="57">
        <v>1000.0</v>
      </c>
      <c r="D30" s="57">
        <v>600.0</v>
      </c>
      <c r="E30" s="57">
        <v>900.0</v>
      </c>
      <c r="F30" s="1"/>
      <c r="G30" s="19" t="b">
        <v>0</v>
      </c>
      <c r="H30" s="21">
        <v>0.0</v>
      </c>
      <c r="I30" s="19" t="b">
        <v>0</v>
      </c>
      <c r="J30" s="21">
        <v>0.0</v>
      </c>
      <c r="K30" s="21">
        <v>0.0</v>
      </c>
      <c r="L30" s="19" t="b">
        <v>1</v>
      </c>
      <c r="M30" s="21">
        <v>1.0</v>
      </c>
      <c r="N30" s="19" t="b">
        <v>1</v>
      </c>
      <c r="O30" s="21">
        <v>1.0</v>
      </c>
      <c r="P30" s="1"/>
      <c r="Q30" s="21">
        <f t="shared" si="9"/>
        <v>4.094456</v>
      </c>
      <c r="R30" s="41">
        <f t="shared" si="1"/>
        <v>4.094456</v>
      </c>
      <c r="S30" s="21">
        <f t="shared" si="2"/>
        <v>0.9</v>
      </c>
      <c r="T30" s="21">
        <f t="shared" si="3"/>
        <v>2.5928</v>
      </c>
      <c r="U30" s="21">
        <f t="shared" si="4"/>
        <v>0</v>
      </c>
      <c r="V30" s="21">
        <f t="shared" si="5"/>
        <v>0.551408</v>
      </c>
      <c r="W30" s="21">
        <f t="shared" si="6"/>
        <v>0.850248</v>
      </c>
      <c r="X30" s="21">
        <f t="shared" si="7"/>
        <v>0.1</v>
      </c>
      <c r="Y30" s="21">
        <f t="shared" si="8"/>
        <v>0.5184</v>
      </c>
      <c r="Z30" s="1"/>
      <c r="AA30" s="1"/>
      <c r="AB30" s="1"/>
      <c r="AC30" s="1"/>
    </row>
    <row r="31" ht="15.75" customHeight="1">
      <c r="B31" s="1"/>
      <c r="C31" s="57">
        <v>1000.0</v>
      </c>
      <c r="D31" s="57">
        <v>600.0</v>
      </c>
      <c r="E31" s="57">
        <v>900.0</v>
      </c>
      <c r="F31" s="1"/>
      <c r="G31" s="19" t="b">
        <v>0</v>
      </c>
      <c r="H31" s="21">
        <v>0.0</v>
      </c>
      <c r="I31" s="19" t="b">
        <v>0</v>
      </c>
      <c r="J31" s="21">
        <v>0.0</v>
      </c>
      <c r="K31" s="21">
        <v>0.0</v>
      </c>
      <c r="L31" s="19" t="b">
        <v>1</v>
      </c>
      <c r="M31" s="21">
        <v>1.0</v>
      </c>
      <c r="N31" s="19" t="b">
        <v>1</v>
      </c>
      <c r="O31" s="21">
        <v>1.0</v>
      </c>
      <c r="P31" s="1"/>
      <c r="Q31" s="21">
        <f t="shared" si="9"/>
        <v>4.094456</v>
      </c>
      <c r="R31" s="41">
        <f t="shared" si="1"/>
        <v>4.094456</v>
      </c>
      <c r="S31" s="21">
        <f t="shared" si="2"/>
        <v>0.9</v>
      </c>
      <c r="T31" s="21">
        <f t="shared" si="3"/>
        <v>2.5928</v>
      </c>
      <c r="U31" s="21">
        <f t="shared" si="4"/>
        <v>0</v>
      </c>
      <c r="V31" s="21">
        <f t="shared" si="5"/>
        <v>0.551408</v>
      </c>
      <c r="W31" s="21">
        <f t="shared" si="6"/>
        <v>0.850248</v>
      </c>
      <c r="X31" s="21">
        <f t="shared" si="7"/>
        <v>0.1</v>
      </c>
      <c r="Y31" s="21">
        <f t="shared" si="8"/>
        <v>0.5184</v>
      </c>
      <c r="Z31" s="1"/>
      <c r="AA31" s="1"/>
      <c r="AB31" s="1"/>
      <c r="AC31" s="1"/>
    </row>
    <row r="32" ht="15.75" customHeight="1">
      <c r="B32" s="1"/>
      <c r="C32" s="57"/>
      <c r="D32" s="57"/>
      <c r="E32" s="57"/>
      <c r="F32" s="1"/>
      <c r="G32" s="19" t="b">
        <v>0</v>
      </c>
      <c r="H32" s="21">
        <v>0.0</v>
      </c>
      <c r="I32" s="19" t="b">
        <v>0</v>
      </c>
      <c r="J32" s="21">
        <v>0.0</v>
      </c>
      <c r="K32" s="21">
        <v>0.0</v>
      </c>
      <c r="L32" s="19" t="b">
        <v>0</v>
      </c>
      <c r="M32" s="21">
        <v>0.0</v>
      </c>
      <c r="N32" s="19" t="b">
        <v>0</v>
      </c>
      <c r="O32" s="21">
        <v>0.0</v>
      </c>
      <c r="P32" s="1"/>
      <c r="Q32" s="21">
        <f t="shared" si="9"/>
        <v>-0.0072</v>
      </c>
      <c r="R32" s="41">
        <f t="shared" si="1"/>
        <v>0</v>
      </c>
      <c r="S32" s="21">
        <f t="shared" si="2"/>
        <v>0</v>
      </c>
      <c r="T32" s="21">
        <f t="shared" si="3"/>
        <v>-0.0072</v>
      </c>
      <c r="U32" s="21">
        <f t="shared" si="4"/>
        <v>0</v>
      </c>
      <c r="V32" s="21">
        <f t="shared" si="5"/>
        <v>0.001008</v>
      </c>
      <c r="W32" s="21">
        <f t="shared" si="6"/>
        <v>0.000648</v>
      </c>
      <c r="X32" s="21">
        <f t="shared" si="7"/>
        <v>0</v>
      </c>
      <c r="Y32" s="21">
        <f t="shared" si="8"/>
        <v>0</v>
      </c>
      <c r="Z32" s="1"/>
      <c r="AA32" s="1"/>
      <c r="AB32" s="1"/>
      <c r="AC32" s="1"/>
    </row>
    <row r="33" ht="15.75" customHeight="1">
      <c r="B33" s="1"/>
      <c r="C33" s="57"/>
      <c r="D33" s="57"/>
      <c r="E33" s="57"/>
      <c r="F33" s="1"/>
      <c r="G33" s="19" t="b">
        <v>0</v>
      </c>
      <c r="H33" s="21">
        <v>0.0</v>
      </c>
      <c r="I33" s="19" t="b">
        <v>0</v>
      </c>
      <c r="J33" s="21">
        <v>0.0</v>
      </c>
      <c r="K33" s="21">
        <v>0.0</v>
      </c>
      <c r="L33" s="19" t="b">
        <v>0</v>
      </c>
      <c r="M33" s="21">
        <v>0.0</v>
      </c>
      <c r="N33" s="19" t="b">
        <v>0</v>
      </c>
      <c r="O33" s="21">
        <v>0.0</v>
      </c>
      <c r="P33" s="1"/>
      <c r="Q33" s="21">
        <f t="shared" si="9"/>
        <v>-0.0072</v>
      </c>
      <c r="R33" s="41">
        <f t="shared" si="1"/>
        <v>0</v>
      </c>
      <c r="S33" s="21">
        <f t="shared" si="2"/>
        <v>0</v>
      </c>
      <c r="T33" s="21">
        <f t="shared" si="3"/>
        <v>-0.0072</v>
      </c>
      <c r="U33" s="21">
        <f t="shared" si="4"/>
        <v>0</v>
      </c>
      <c r="V33" s="21">
        <f t="shared" si="5"/>
        <v>0.001008</v>
      </c>
      <c r="W33" s="21">
        <f t="shared" si="6"/>
        <v>0.000648</v>
      </c>
      <c r="X33" s="21">
        <f t="shared" si="7"/>
        <v>0</v>
      </c>
      <c r="Y33" s="21">
        <f t="shared" si="8"/>
        <v>0</v>
      </c>
      <c r="Z33" s="1"/>
      <c r="AA33" s="1"/>
      <c r="AB33" s="1"/>
      <c r="AC33" s="1"/>
    </row>
    <row r="34" ht="15.75" customHeight="1">
      <c r="B34" s="1"/>
      <c r="C34" s="57"/>
      <c r="D34" s="57"/>
      <c r="E34" s="57"/>
      <c r="F34" s="1"/>
      <c r="G34" s="19" t="b">
        <v>0</v>
      </c>
      <c r="H34" s="21">
        <v>0.0</v>
      </c>
      <c r="I34" s="19" t="b">
        <v>0</v>
      </c>
      <c r="J34" s="21">
        <v>0.0</v>
      </c>
      <c r="K34" s="21">
        <v>0.0</v>
      </c>
      <c r="L34" s="19" t="b">
        <v>0</v>
      </c>
      <c r="M34" s="21">
        <v>0.0</v>
      </c>
      <c r="N34" s="19" t="b">
        <v>0</v>
      </c>
      <c r="O34" s="21">
        <v>0.0</v>
      </c>
      <c r="P34" s="1"/>
      <c r="Q34" s="21">
        <f t="shared" si="9"/>
        <v>-0.0072</v>
      </c>
      <c r="R34" s="41">
        <f t="shared" si="1"/>
        <v>0</v>
      </c>
      <c r="S34" s="21">
        <f t="shared" si="2"/>
        <v>0</v>
      </c>
      <c r="T34" s="21">
        <f t="shared" si="3"/>
        <v>-0.0072</v>
      </c>
      <c r="U34" s="21">
        <f t="shared" si="4"/>
        <v>0</v>
      </c>
      <c r="V34" s="21">
        <f t="shared" si="5"/>
        <v>0.001008</v>
      </c>
      <c r="W34" s="21">
        <f t="shared" si="6"/>
        <v>0.000648</v>
      </c>
      <c r="X34" s="21">
        <f t="shared" si="7"/>
        <v>0</v>
      </c>
      <c r="Y34" s="21">
        <f t="shared" si="8"/>
        <v>0</v>
      </c>
      <c r="Z34" s="1"/>
      <c r="AA34" s="1"/>
      <c r="AB34" s="1"/>
      <c r="AC34" s="1"/>
    </row>
    <row r="35" ht="15.75" customHeight="1">
      <c r="B35" s="1"/>
      <c r="C35" s="57"/>
      <c r="D35" s="57"/>
      <c r="E35" s="57"/>
      <c r="F35" s="1"/>
      <c r="G35" s="19" t="b">
        <v>0</v>
      </c>
      <c r="H35" s="21">
        <v>0.0</v>
      </c>
      <c r="I35" s="19" t="b">
        <v>0</v>
      </c>
      <c r="J35" s="21">
        <v>0.0</v>
      </c>
      <c r="K35" s="21">
        <v>0.0</v>
      </c>
      <c r="L35" s="19" t="b">
        <v>0</v>
      </c>
      <c r="M35" s="21">
        <v>0.0</v>
      </c>
      <c r="N35" s="19" t="b">
        <v>0</v>
      </c>
      <c r="O35" s="21">
        <v>0.0</v>
      </c>
      <c r="P35" s="1"/>
      <c r="Q35" s="21">
        <f t="shared" si="9"/>
        <v>-0.0072</v>
      </c>
      <c r="R35" s="41">
        <f t="shared" si="1"/>
        <v>0</v>
      </c>
      <c r="S35" s="21">
        <f t="shared" si="2"/>
        <v>0</v>
      </c>
      <c r="T35" s="21">
        <f t="shared" si="3"/>
        <v>-0.0072</v>
      </c>
      <c r="U35" s="21">
        <f t="shared" si="4"/>
        <v>0</v>
      </c>
      <c r="V35" s="21">
        <f t="shared" si="5"/>
        <v>0.001008</v>
      </c>
      <c r="W35" s="21">
        <f t="shared" si="6"/>
        <v>0.000648</v>
      </c>
      <c r="X35" s="21">
        <f t="shared" si="7"/>
        <v>0</v>
      </c>
      <c r="Y35" s="21">
        <f t="shared" si="8"/>
        <v>0</v>
      </c>
      <c r="Z35" s="1"/>
      <c r="AA35" s="1"/>
      <c r="AB35" s="1"/>
      <c r="AC35" s="1"/>
    </row>
    <row r="36" ht="15.75" customHeight="1">
      <c r="B36" s="1"/>
      <c r="C36" s="57"/>
      <c r="D36" s="57"/>
      <c r="E36" s="57"/>
      <c r="F36" s="1"/>
      <c r="G36" s="19" t="b">
        <v>0</v>
      </c>
      <c r="H36" s="21">
        <v>0.0</v>
      </c>
      <c r="I36" s="19" t="b">
        <v>0</v>
      </c>
      <c r="J36" s="21">
        <v>0.0</v>
      </c>
      <c r="K36" s="21">
        <v>0.0</v>
      </c>
      <c r="L36" s="19" t="b">
        <v>0</v>
      </c>
      <c r="M36" s="21">
        <v>0.0</v>
      </c>
      <c r="N36" s="19" t="b">
        <v>0</v>
      </c>
      <c r="O36" s="21">
        <v>0.0</v>
      </c>
      <c r="P36" s="1"/>
      <c r="Q36" s="21">
        <f t="shared" si="9"/>
        <v>-0.0072</v>
      </c>
      <c r="R36" s="41">
        <f t="shared" si="1"/>
        <v>0</v>
      </c>
      <c r="S36" s="21">
        <f t="shared" si="2"/>
        <v>0</v>
      </c>
      <c r="T36" s="21">
        <f t="shared" si="3"/>
        <v>-0.0072</v>
      </c>
      <c r="U36" s="21">
        <f t="shared" si="4"/>
        <v>0</v>
      </c>
      <c r="V36" s="21">
        <f t="shared" si="5"/>
        <v>0.001008</v>
      </c>
      <c r="W36" s="21">
        <f t="shared" si="6"/>
        <v>0.000648</v>
      </c>
      <c r="X36" s="21">
        <f t="shared" si="7"/>
        <v>0</v>
      </c>
      <c r="Y36" s="21">
        <f t="shared" si="8"/>
        <v>0</v>
      </c>
      <c r="Z36" s="1"/>
      <c r="AA36" s="1"/>
      <c r="AB36" s="1"/>
      <c r="AC36" s="1"/>
    </row>
    <row r="37" ht="15.75" customHeight="1">
      <c r="B37" s="1"/>
      <c r="C37" s="57"/>
      <c r="D37" s="57"/>
      <c r="E37" s="57"/>
      <c r="F37" s="1"/>
      <c r="G37" s="19" t="b">
        <v>0</v>
      </c>
      <c r="H37" s="21">
        <v>0.0</v>
      </c>
      <c r="I37" s="19" t="b">
        <v>0</v>
      </c>
      <c r="J37" s="21">
        <v>0.0</v>
      </c>
      <c r="K37" s="21">
        <v>0.0</v>
      </c>
      <c r="L37" s="19" t="b">
        <v>0</v>
      </c>
      <c r="M37" s="21">
        <v>0.0</v>
      </c>
      <c r="N37" s="19" t="b">
        <v>0</v>
      </c>
      <c r="O37" s="21">
        <v>0.0</v>
      </c>
      <c r="P37" s="1"/>
      <c r="Q37" s="21">
        <f t="shared" si="9"/>
        <v>-0.0072</v>
      </c>
      <c r="R37" s="41">
        <f t="shared" si="1"/>
        <v>0</v>
      </c>
      <c r="S37" s="21">
        <f t="shared" si="2"/>
        <v>0</v>
      </c>
      <c r="T37" s="21">
        <f t="shared" si="3"/>
        <v>-0.0072</v>
      </c>
      <c r="U37" s="21">
        <f t="shared" si="4"/>
        <v>0</v>
      </c>
      <c r="V37" s="21">
        <f t="shared" si="5"/>
        <v>0.001008</v>
      </c>
      <c r="W37" s="21">
        <f t="shared" si="6"/>
        <v>0.000648</v>
      </c>
      <c r="X37" s="21">
        <f t="shared" si="7"/>
        <v>0</v>
      </c>
      <c r="Y37" s="21">
        <f t="shared" si="8"/>
        <v>0</v>
      </c>
      <c r="Z37" s="1"/>
      <c r="AA37" s="1"/>
      <c r="AB37" s="1"/>
      <c r="AC37" s="1"/>
    </row>
    <row r="38" ht="15.75" customHeight="1">
      <c r="B38" s="1"/>
      <c r="C38" s="57"/>
      <c r="D38" s="57"/>
      <c r="E38" s="57"/>
      <c r="F38" s="1"/>
      <c r="G38" s="19" t="b">
        <v>0</v>
      </c>
      <c r="H38" s="21">
        <v>0.0</v>
      </c>
      <c r="I38" s="19" t="b">
        <v>0</v>
      </c>
      <c r="J38" s="21">
        <v>0.0</v>
      </c>
      <c r="K38" s="21">
        <v>0.0</v>
      </c>
      <c r="L38" s="19" t="b">
        <v>0</v>
      </c>
      <c r="M38" s="21">
        <v>0.0</v>
      </c>
      <c r="N38" s="19" t="b">
        <v>0</v>
      </c>
      <c r="O38" s="21">
        <v>0.0</v>
      </c>
      <c r="P38" s="1"/>
      <c r="Q38" s="21">
        <f t="shared" si="9"/>
        <v>-0.0072</v>
      </c>
      <c r="R38" s="41">
        <f t="shared" si="1"/>
        <v>0</v>
      </c>
      <c r="S38" s="21">
        <f t="shared" si="2"/>
        <v>0</v>
      </c>
      <c r="T38" s="21">
        <f t="shared" si="3"/>
        <v>-0.0072</v>
      </c>
      <c r="U38" s="21">
        <f t="shared" si="4"/>
        <v>0</v>
      </c>
      <c r="V38" s="21">
        <f t="shared" si="5"/>
        <v>0.001008</v>
      </c>
      <c r="W38" s="21">
        <f t="shared" si="6"/>
        <v>0.000648</v>
      </c>
      <c r="X38" s="21">
        <f t="shared" si="7"/>
        <v>0</v>
      </c>
      <c r="Y38" s="21">
        <f t="shared" si="8"/>
        <v>0</v>
      </c>
      <c r="Z38" s="1"/>
      <c r="AA38" s="1"/>
      <c r="AB38" s="1"/>
      <c r="AC38" s="1"/>
    </row>
    <row r="39" ht="15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84" t="s">
        <v>142</v>
      </c>
      <c r="M42" s="85">
        <f>SUM(R8:R38)</f>
        <v>68.751676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O8:O38">
      <formula1>"0,1,2,3,4,5,6,7,8,9,10"</formula1>
    </dataValidation>
    <dataValidation type="list" allowBlank="1" showErrorMessage="1" sqref="K8:K38">
      <formula1>"0,300,350,400,450,500,550"</formula1>
    </dataValidation>
    <dataValidation type="list" allowBlank="1" showErrorMessage="1" sqref="H8:H38 M8:M38">
      <formula1>"0,1,2,3,4,5,6,7"</formula1>
    </dataValidation>
    <dataValidation type="list" allowBlank="1" showErrorMessage="1" sqref="J8:J38">
      <formula1>"0,83,98,106,146,192,224"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3" width="8.75"/>
    <col customWidth="1" min="4" max="4" width="14.0"/>
    <col customWidth="1" min="5" max="5" width="11.63"/>
    <col customWidth="1" min="6" max="6" width="7.25"/>
    <col customWidth="1" min="7" max="7" width="14.25"/>
    <col customWidth="1" min="8" max="8" width="9.63"/>
    <col customWidth="1" min="9" max="9" width="9.0"/>
    <col customWidth="1" min="10" max="10" width="4.0"/>
    <col customWidth="1" min="11" max="26" width="14.3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/>
      <c r="B5" s="10" t="s">
        <v>16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/>
      <c r="B7" s="2"/>
      <c r="C7" s="13" t="s">
        <v>18</v>
      </c>
      <c r="D7" s="15" t="s">
        <v>19</v>
      </c>
      <c r="E7" s="2"/>
      <c r="F7" s="2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/>
      <c r="B8" s="2"/>
      <c r="C8" s="13" t="s">
        <v>22</v>
      </c>
      <c r="D8" s="22">
        <f>TODAY()</f>
        <v>46315</v>
      </c>
      <c r="F8" s="2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/>
      <c r="B9" s="2"/>
      <c r="C9" s="13" t="s">
        <v>25</v>
      </c>
      <c r="D9" s="22">
        <f>TODAY()+14</f>
        <v>46329</v>
      </c>
      <c r="F9" s="2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4"/>
      <c r="B11" s="25" t="s">
        <v>29</v>
      </c>
      <c r="G11" s="28" t="s">
        <v>30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0"/>
      <c r="B12" s="30" t="s">
        <v>31</v>
      </c>
      <c r="C12" s="2"/>
      <c r="D12" s="2"/>
      <c r="E12" s="2"/>
      <c r="F12" s="2"/>
      <c r="G12" s="2" t="s">
        <v>32</v>
      </c>
      <c r="H12" s="2"/>
      <c r="I12" s="2"/>
      <c r="J12" s="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0"/>
      <c r="B13" s="30">
        <v>3.05189636E8</v>
      </c>
      <c r="C13" s="2"/>
      <c r="D13" s="2"/>
      <c r="E13" s="2"/>
      <c r="F13" s="2"/>
      <c r="G13" s="33"/>
      <c r="H13" s="2"/>
      <c r="I13" s="2"/>
      <c r="J13" s="2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0"/>
      <c r="B14" s="30" t="s">
        <v>36</v>
      </c>
      <c r="C14" s="2"/>
      <c r="D14" s="2"/>
      <c r="E14" s="2"/>
      <c r="F14" s="2"/>
      <c r="G14" s="2"/>
      <c r="H14" s="2"/>
      <c r="I14" s="2"/>
      <c r="J14" s="2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0"/>
      <c r="B15" s="30" t="s">
        <v>38</v>
      </c>
      <c r="C15" s="2"/>
      <c r="D15" s="2"/>
      <c r="E15" s="2"/>
      <c r="F15" s="2"/>
      <c r="G15" s="2"/>
      <c r="H15" s="2"/>
      <c r="I15" s="35"/>
      <c r="J15" s="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0"/>
      <c r="B16" s="30" t="str">
        <f>"062533752"</f>
        <v>062533752</v>
      </c>
      <c r="C16" s="2"/>
      <c r="D16" s="2"/>
      <c r="E16" s="2"/>
      <c r="F16" s="2"/>
      <c r="G16" s="2"/>
      <c r="H16" s="2"/>
      <c r="I16" s="2"/>
      <c r="J16" s="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39" t="s">
        <v>43</v>
      </c>
      <c r="B18" s="42" t="s">
        <v>45</v>
      </c>
      <c r="C18" s="6"/>
      <c r="D18" s="8"/>
      <c r="E18" s="39" t="s">
        <v>47</v>
      </c>
      <c r="F18" s="39" t="s">
        <v>49</v>
      </c>
      <c r="G18" s="39" t="s">
        <v>50</v>
      </c>
      <c r="H18" s="39" t="s">
        <v>51</v>
      </c>
      <c r="I18" s="42" t="s">
        <v>52</v>
      </c>
      <c r="J18" s="8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43">
        <v>1.0</v>
      </c>
      <c r="B19" s="44" t="s">
        <v>55</v>
      </c>
      <c r="C19" s="6"/>
      <c r="D19" s="8"/>
      <c r="E19" s="46">
        <f>Samata1!F27</f>
        <v>2882.091002</v>
      </c>
      <c r="F19" s="43">
        <v>1.0</v>
      </c>
      <c r="G19" s="49">
        <f t="shared" ref="G19:G32" si="1">IF(ISBLANK(E19),"",E19*F19)</f>
        <v>2882.091002</v>
      </c>
      <c r="H19" s="49">
        <f t="shared" ref="H19:H32" si="2">IF(ISBLANK(E19),"",G19*21%)</f>
        <v>605.2391104</v>
      </c>
      <c r="I19" s="50">
        <f t="shared" ref="I19:I32" si="3">IF(ISBLANK(E19),"",G19+H19)</f>
        <v>3487.330112</v>
      </c>
      <c r="J19" s="8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43">
        <v>2.0</v>
      </c>
      <c r="B20" s="44" t="s">
        <v>67</v>
      </c>
      <c r="C20" s="6"/>
      <c r="D20" s="8"/>
      <c r="E20" s="46">
        <f>Samata1!F45+2000</f>
        <v>3419.9885</v>
      </c>
      <c r="F20" s="43">
        <v>1.0</v>
      </c>
      <c r="G20" s="49">
        <f t="shared" si="1"/>
        <v>3419.9885</v>
      </c>
      <c r="H20" s="49">
        <f t="shared" si="2"/>
        <v>718.197585</v>
      </c>
      <c r="I20" s="50">
        <f t="shared" si="3"/>
        <v>4138.186085</v>
      </c>
      <c r="J20" s="8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43">
        <v>3.0</v>
      </c>
      <c r="B21" s="44" t="s">
        <v>73</v>
      </c>
      <c r="C21" s="6"/>
      <c r="D21" s="8"/>
      <c r="E21" s="46">
        <f>Samata1!F59</f>
        <v>4102.11424</v>
      </c>
      <c r="F21" s="43">
        <v>1.0</v>
      </c>
      <c r="G21" s="49">
        <f t="shared" si="1"/>
        <v>4102.11424</v>
      </c>
      <c r="H21" s="49">
        <f t="shared" si="2"/>
        <v>861.4439904</v>
      </c>
      <c r="I21" s="50">
        <f t="shared" si="3"/>
        <v>4963.55823</v>
      </c>
      <c r="J21" s="8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43">
        <v>4.0</v>
      </c>
      <c r="B22" s="44" t="s">
        <v>78</v>
      </c>
      <c r="C22" s="6"/>
      <c r="D22" s="8"/>
      <c r="E22" s="46">
        <f>Samata1!F77</f>
        <v>10095.64101</v>
      </c>
      <c r="F22" s="43">
        <v>1.0</v>
      </c>
      <c r="G22" s="49">
        <f t="shared" si="1"/>
        <v>10095.64101</v>
      </c>
      <c r="H22" s="49">
        <f t="shared" si="2"/>
        <v>2120.084612</v>
      </c>
      <c r="I22" s="50">
        <f t="shared" si="3"/>
        <v>12215.72562</v>
      </c>
      <c r="J22" s="8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43">
        <v>5.0</v>
      </c>
      <c r="B23" s="44" t="s">
        <v>82</v>
      </c>
      <c r="C23" s="6"/>
      <c r="D23" s="8"/>
      <c r="E23" s="46">
        <f>Samata1!F105</f>
        <v>813.09648</v>
      </c>
      <c r="F23" s="43">
        <v>1.0</v>
      </c>
      <c r="G23" s="49">
        <f t="shared" si="1"/>
        <v>813.09648</v>
      </c>
      <c r="H23" s="49">
        <f t="shared" si="2"/>
        <v>170.7502608</v>
      </c>
      <c r="I23" s="50">
        <f t="shared" si="3"/>
        <v>983.8467408</v>
      </c>
      <c r="J23" s="8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43">
        <v>6.0</v>
      </c>
      <c r="B24" s="44" t="s">
        <v>89</v>
      </c>
      <c r="C24" s="6"/>
      <c r="D24" s="8"/>
      <c r="E24" s="46">
        <f>Samata1!F117</f>
        <v>299.17524</v>
      </c>
      <c r="F24" s="43">
        <v>1.0</v>
      </c>
      <c r="G24" s="49">
        <f t="shared" si="1"/>
        <v>299.17524</v>
      </c>
      <c r="H24" s="49">
        <f t="shared" si="2"/>
        <v>62.8268004</v>
      </c>
      <c r="I24" s="50">
        <f t="shared" si="3"/>
        <v>362.0020404</v>
      </c>
      <c r="J24" s="8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43">
        <v>7.0</v>
      </c>
      <c r="B25" s="44" t="s">
        <v>91</v>
      </c>
      <c r="C25" s="6"/>
      <c r="D25" s="8"/>
      <c r="E25" s="46">
        <f>Samata1!F129</f>
        <v>942.03704</v>
      </c>
      <c r="F25" s="43">
        <v>1.0</v>
      </c>
      <c r="G25" s="49">
        <f t="shared" si="1"/>
        <v>942.03704</v>
      </c>
      <c r="H25" s="49">
        <f t="shared" si="2"/>
        <v>197.8277784</v>
      </c>
      <c r="I25" s="50">
        <f t="shared" si="3"/>
        <v>1139.864818</v>
      </c>
      <c r="J25" s="8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43">
        <v>8.0</v>
      </c>
      <c r="B26" s="44" t="s">
        <v>92</v>
      </c>
      <c r="C26" s="6"/>
      <c r="D26" s="8"/>
      <c r="E26" s="46">
        <f>Samata1!F142</f>
        <v>6068.042736</v>
      </c>
      <c r="F26" s="43">
        <v>1.0</v>
      </c>
      <c r="G26" s="49">
        <f t="shared" si="1"/>
        <v>6068.042736</v>
      </c>
      <c r="H26" s="49">
        <f t="shared" si="2"/>
        <v>1274.288975</v>
      </c>
      <c r="I26" s="50">
        <f t="shared" si="3"/>
        <v>7342.331711</v>
      </c>
      <c r="J26" s="8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43">
        <v>9.0</v>
      </c>
      <c r="B27" s="44" t="s">
        <v>95</v>
      </c>
      <c r="C27" s="6"/>
      <c r="D27" s="8"/>
      <c r="E27" s="46">
        <f>Samata1!F175</f>
        <v>1722.21</v>
      </c>
      <c r="F27" s="43">
        <v>1.0</v>
      </c>
      <c r="G27" s="49">
        <f t="shared" si="1"/>
        <v>1722.21</v>
      </c>
      <c r="H27" s="49">
        <f t="shared" si="2"/>
        <v>361.6641</v>
      </c>
      <c r="I27" s="50">
        <f t="shared" si="3"/>
        <v>2083.8741</v>
      </c>
      <c r="J27" s="8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43">
        <v>10.0</v>
      </c>
      <c r="B28" s="44" t="s">
        <v>99</v>
      </c>
      <c r="C28" s="6"/>
      <c r="D28" s="8"/>
      <c r="E28" s="46">
        <f>Samata1!F189</f>
        <v>3248.6762</v>
      </c>
      <c r="F28" s="43">
        <v>1.0</v>
      </c>
      <c r="G28" s="49">
        <f t="shared" si="1"/>
        <v>3248.6762</v>
      </c>
      <c r="H28" s="49">
        <f t="shared" si="2"/>
        <v>682.222002</v>
      </c>
      <c r="I28" s="50">
        <f t="shared" si="3"/>
        <v>3930.898202</v>
      </c>
      <c r="J28" s="8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0" customHeight="1">
      <c r="A29" s="43">
        <v>11.0</v>
      </c>
      <c r="B29" s="44" t="s">
        <v>102</v>
      </c>
      <c r="C29" s="6"/>
      <c r="D29" s="8"/>
      <c r="E29" s="46">
        <f>Samata1!F206</f>
        <v>1246.58352</v>
      </c>
      <c r="F29" s="43">
        <v>1.0</v>
      </c>
      <c r="G29" s="49">
        <f t="shared" si="1"/>
        <v>1246.58352</v>
      </c>
      <c r="H29" s="49">
        <f t="shared" si="2"/>
        <v>261.7825392</v>
      </c>
      <c r="I29" s="50">
        <f t="shared" si="3"/>
        <v>1508.366059</v>
      </c>
      <c r="J29" s="8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0" customHeight="1">
      <c r="A30" s="43">
        <v>12.0</v>
      </c>
      <c r="B30" s="44" t="s">
        <v>105</v>
      </c>
      <c r="C30" s="6"/>
      <c r="D30" s="8"/>
      <c r="E30" s="59">
        <v>600.0</v>
      </c>
      <c r="F30" s="60">
        <v>1.0</v>
      </c>
      <c r="G30" s="49">
        <f t="shared" si="1"/>
        <v>600</v>
      </c>
      <c r="H30" s="49">
        <f t="shared" si="2"/>
        <v>126</v>
      </c>
      <c r="I30" s="50">
        <f t="shared" si="3"/>
        <v>726</v>
      </c>
      <c r="J30" s="8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0" customHeight="1">
      <c r="A31" s="43">
        <v>13.0</v>
      </c>
      <c r="B31" s="44" t="s">
        <v>110</v>
      </c>
      <c r="C31" s="6"/>
      <c r="D31" s="8"/>
      <c r="E31" s="59">
        <v>800.0</v>
      </c>
      <c r="F31" s="60">
        <v>1.0</v>
      </c>
      <c r="G31" s="49">
        <f t="shared" si="1"/>
        <v>800</v>
      </c>
      <c r="H31" s="49">
        <f t="shared" si="2"/>
        <v>168</v>
      </c>
      <c r="I31" s="50">
        <f t="shared" si="3"/>
        <v>968</v>
      </c>
      <c r="J31" s="8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43">
        <v>14.0</v>
      </c>
      <c r="B32" s="44" t="s">
        <v>112</v>
      </c>
      <c r="C32" s="6"/>
      <c r="D32" s="8"/>
      <c r="E32" s="59">
        <v>40.0</v>
      </c>
      <c r="F32" s="60">
        <f>2*10*11</f>
        <v>220</v>
      </c>
      <c r="G32" s="49">
        <f t="shared" si="1"/>
        <v>8800</v>
      </c>
      <c r="H32" s="49">
        <f t="shared" si="2"/>
        <v>1848</v>
      </c>
      <c r="I32" s="50">
        <f t="shared" si="3"/>
        <v>10648</v>
      </c>
      <c r="J32" s="8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"/>
      <c r="B34" s="2"/>
      <c r="C34" s="2"/>
      <c r="D34" s="2"/>
      <c r="E34" s="2"/>
      <c r="F34" s="2"/>
      <c r="G34" s="2"/>
      <c r="H34" s="13" t="s">
        <v>47</v>
      </c>
      <c r="I34" s="61">
        <f>SUM(G19:G32)</f>
        <v>45039.65597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"/>
      <c r="B35" s="2"/>
      <c r="C35" s="2"/>
      <c r="D35" s="2"/>
      <c r="E35" s="2"/>
      <c r="F35" s="2"/>
      <c r="G35" s="2"/>
      <c r="H35" s="13" t="s">
        <v>51</v>
      </c>
      <c r="I35" s="61">
        <f>SUM(H19:H32)</f>
        <v>9458.327753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"/>
      <c r="B36" s="2"/>
      <c r="C36" s="2"/>
      <c r="D36" s="2"/>
      <c r="E36" s="2"/>
      <c r="F36" s="2"/>
      <c r="G36" s="63"/>
      <c r="H36" s="64" t="s">
        <v>128</v>
      </c>
      <c r="I36" s="65"/>
      <c r="J36" s="66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2"/>
      <c r="B37" s="2"/>
      <c r="C37" s="2"/>
      <c r="D37" s="2"/>
      <c r="E37" s="2"/>
      <c r="F37" s="2"/>
      <c r="G37" s="2"/>
      <c r="H37" s="67" t="s">
        <v>129</v>
      </c>
      <c r="I37" s="71">
        <f>IF(I36="",I34+I35,(I34+I35)-I36)</f>
        <v>54497.98372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7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6.75" customHeight="1">
      <c r="A40" s="75" t="s">
        <v>131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0">
    <mergeCell ref="I18:J18"/>
    <mergeCell ref="I19:J19"/>
    <mergeCell ref="B5:J5"/>
    <mergeCell ref="D8:E8"/>
    <mergeCell ref="D9:E9"/>
    <mergeCell ref="B11:F11"/>
    <mergeCell ref="G11:J11"/>
    <mergeCell ref="B18:D18"/>
    <mergeCell ref="B19:D19"/>
    <mergeCell ref="B20:D20"/>
    <mergeCell ref="I20:J20"/>
    <mergeCell ref="B21:D21"/>
    <mergeCell ref="I21:J21"/>
    <mergeCell ref="B22:D22"/>
    <mergeCell ref="I22:J22"/>
    <mergeCell ref="I23:J23"/>
    <mergeCell ref="B30:D30"/>
    <mergeCell ref="B31:D31"/>
    <mergeCell ref="B32:D32"/>
    <mergeCell ref="B23:D23"/>
    <mergeCell ref="B24:D24"/>
    <mergeCell ref="B25:D25"/>
    <mergeCell ref="B26:D26"/>
    <mergeCell ref="B27:D27"/>
    <mergeCell ref="B28:D28"/>
    <mergeCell ref="B29:D29"/>
    <mergeCell ref="I31:J31"/>
    <mergeCell ref="I32:J32"/>
    <mergeCell ref="I34:J34"/>
    <mergeCell ref="I35:J35"/>
    <mergeCell ref="I36:J36"/>
    <mergeCell ref="I37:J37"/>
    <mergeCell ref="A40:J40"/>
    <mergeCell ref="I24:J24"/>
    <mergeCell ref="I25:J25"/>
    <mergeCell ref="I26:J26"/>
    <mergeCell ref="I27:J27"/>
    <mergeCell ref="I28:J28"/>
    <mergeCell ref="I29:J29"/>
    <mergeCell ref="I30:J30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2025-07-01T12:53:00Z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308986DF3D2B45C1AAFE2FFB425CB6B1_12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